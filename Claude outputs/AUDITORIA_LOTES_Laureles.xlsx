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oría frente y fondo" sheetId="1" state="visible" r:id="rId3"/>
    <sheet name="Qué estaba pasando" sheetId="2" state="visible" r:id="rId4"/>
  </sheets>
  <definedNames>
    <definedName function="false" hidden="true" localSheetId="0" name="_xlnm._FilterDatabase" vbProcedure="false">'Auditoría frente y fondo'!$A$5:$L$91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<sst xmlns="http://schemas.openxmlformats.org/spreadsheetml/2006/main" count="298" uniqueCount="56">
  <si>
    <t xml:space="preserve">LAURELES CAMPESTRE · AUDITORÍA DE PLANIMETRÍA LOTE POR LOTE</t>
  </si>
  <si>
    <t xml:space="preserve">Frente sobre vía y fondo reconstruidos contra la geometría del plano 039 (09-09-2026) y el corredor vial del propio plano. 18/09/2026.</t>
  </si>
  <si>
    <t xml:space="preserve">Método: se mide sobre el lindero de cada lote el tramo cuya distancia al corredor vial del plano no pasa de 1,00 m —la cuña de dibujo entre la capa del lote y la del corredor llega a 0,90 m—, y se corta donde el lindero gira más de 32°. Error de la medida: ±0,10 m, comprobado contra los 45 lotes cuyo dato publicado ya era correcto (error medio 0,009 m).</t>
  </si>
  <si>
    <t xml:space="preserve">Lote</t>
  </si>
  <si>
    <t xml:space="preserve">Área plano (m²)</t>
  </si>
  <si>
    <t xml:space="preserve">Área medida (m²)</t>
  </si>
  <si>
    <t xml:space="preserve">Frente publicado (m)</t>
  </si>
  <si>
    <t xml:space="preserve">Frente real (m)</t>
  </si>
  <si>
    <t xml:space="preserve">Diferencia (m)</t>
  </si>
  <si>
    <t xml:space="preserve">Otros frentes (m)</t>
  </si>
  <si>
    <t xml:space="preserve">Frente total (m)</t>
  </si>
  <si>
    <t xml:space="preserve">Fondo publicado (m)</t>
  </si>
  <si>
    <t xml:space="preserve">Fondo real (m)</t>
  </si>
  <si>
    <t xml:space="preserve">Tipo de lote</t>
  </si>
  <si>
    <t xml:space="preserve">Veredicto</t>
  </si>
  <si>
    <t xml:space="preserve">19,5 + 14,7</t>
  </si>
  <si>
    <t xml:space="preserve">Esquinero</t>
  </si>
  <si>
    <t xml:space="preserve">Corregido · subestimado</t>
  </si>
  <si>
    <t xml:space="preserve">—</t>
  </si>
  <si>
    <t xml:space="preserve">Frente único</t>
  </si>
  <si>
    <t xml:space="preserve">Correcto</t>
  </si>
  <si>
    <t xml:space="preserve">6,0</t>
  </si>
  <si>
    <t xml:space="preserve">22,6 + 11,9</t>
  </si>
  <si>
    <t xml:space="preserve">31,3</t>
  </si>
  <si>
    <t xml:space="preserve">Pasante (vía en los dos extremos)</t>
  </si>
  <si>
    <t xml:space="preserve">32,0</t>
  </si>
  <si>
    <t xml:space="preserve">35,4</t>
  </si>
  <si>
    <t xml:space="preserve">37,3</t>
  </si>
  <si>
    <t xml:space="preserve">24,8 + 20,5 + 20,3 + 14,1</t>
  </si>
  <si>
    <t xml:space="preserve">10,0</t>
  </si>
  <si>
    <t xml:space="preserve">29,4 + 12,6</t>
  </si>
  <si>
    <t xml:space="preserve">RESUMEN</t>
  </si>
  <si>
    <t xml:space="preserve">Lotes auditados</t>
  </si>
  <si>
    <t xml:space="preserve">Lotes cuyo frente publicado era correcto (±0,15 m)</t>
  </si>
  <si>
    <t xml:space="preserve">Lotes corregidos porque el frente estaba subestimado</t>
  </si>
  <si>
    <t xml:space="preserve">Lotes corregidos porque el frente estaba sobrestimado</t>
  </si>
  <si>
    <t xml:space="preserve">Metros de frente que no se estaban publicando (suma)</t>
  </si>
  <si>
    <t xml:space="preserve">Mayor diferencia en un solo lote (m)</t>
  </si>
  <si>
    <t xml:space="preserve">Menor frente real de la parcelación (m)</t>
  </si>
  <si>
    <t xml:space="preserve">Lotes con frente real menor de 30 m</t>
  </si>
  <si>
    <t xml:space="preserve">AUDITORÍA DE FRENTE Y FONDO · QUÉ ESTABA PASANDO</t>
  </si>
  <si>
    <t xml:space="preserve">EL ERROR</t>
  </si>
  <si>
    <t xml:space="preserve">El dato de «Frente sobre vía» se tomaba como el segmento más largo del lindero que daba a la vía, no como el tramo completo.</t>
  </si>
  <si>
    <t xml:space="preserve">Cuando el lindero del frente venía partido en dos o más segmentos —que es lo normal donde la vía hace una curva o el lote remata en chaflán—, se publicaba sólo uno de ellos.</t>
  </si>
  <si>
    <t xml:space="preserve">Ejemplo, lote 7: el frente son dos segmentos de 6,3 m y 23,7 m que forman un solo tramo continuo de 30,0 m. Se venía publicando 23,7 m.</t>
  </si>
  <si>
    <t xml:space="preserve">EL ALCANCE</t>
  </si>
  <si>
    <t xml:space="preserve">41 de los 86 lotes tenían mal el frente, y en los 41 el dato publicado estaba POR DEBAJO del real. Ninguno estaba exagerado.</t>
  </si>
  <si>
    <t xml:space="preserve">Los otros 45 lotes ya estaban bien: el método los reproduce con un error máximo de 0,10 m y medio de 0,009 m, y eso es lo que da confianza en los 41 corregidos.</t>
  </si>
  <si>
    <t xml:space="preserve">EL FONDO</t>
  </si>
  <si>
    <t xml:space="preserve">El fondo publicado era la extensión máxima del lote, que en un lote romboidal es la diagonal, no la profundidad. Cambia en 48 lotes.</t>
  </si>
  <si>
    <t xml:space="preserve">Ahora es la profundidad medida perpendicular al frente. Comprobación: frente × fondo contra el área real da 3,8 % de error mediano con el dato nuevo, contra 9,2 % con el anterior.</t>
  </si>
  <si>
    <t xml:space="preserve">En los lotes muy sesgados la mejora es grande: lote 13 pasa de 19,4 % a 0,2 % de error.</t>
  </si>
  <si>
    <t xml:space="preserve">LO QUE HAY QUE MIRAR EN CAMPO</t>
  </si>
  <si>
    <t xml:space="preserve">Lote 65: es el único de los 86 con frente menor de 30 m. Su lindero sur mide 23,9 m y da todo a la vía; el dato publicado (24,0 m) era correcto.</t>
  </si>
  <si>
    <t xml:space="preserve">Lotes 40 a 44: tienen vía por los dos extremos. Comercialmente son dos frentes, no uno.</t>
  </si>
  <si>
    <t xml:space="preserve">Lotes 1, 39, 45, 46, 64 y 86: son esquineros de verdad, con frente sobre dos vías que se cruzan.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</si>
</sst>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2402F"/>
      <name val="Arial"/>
      <family val="0"/>
      <charset val="1"/>
    </font>
    <font>
      <i val="true"/>
      <sz val="9"/>
      <color rgb="FF6B7367"/>
      <name val="Arial"/>
      <family val="0"/>
      <charset val="1"/>
    </font>
    <font>
      <sz val="9"/>
      <color rgb="FF6B73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32402F"/>
      <name val="Arial"/>
      <family val="0"/>
      <charset val="1"/>
    </font>
    <font>
      <b val="true"/>
      <sz val="10"/>
      <color rgb="FF9B7A4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2402F"/>
        <bgColor rgb="FF333300"/>
      </patternFill>
    </fill>
    <fill>
      <patternFill patternType="solid">
        <fgColor rgb="FFF7E3DE"/>
        <bgColor rgb="FFEDEBE1"/>
      </patternFill>
    </fill>
    <fill>
      <patternFill patternType="solid">
        <fgColor rgb="FFE4EFE2"/>
        <bgColor rgb="FFEDEBE1"/>
      </patternFill>
    </fill>
    <fill>
      <patternFill patternType="solid">
        <fgColor rgb="FFEDEBE1"/>
        <bgColor rgb="FFE4EFE2"/>
      </patternFill>
    </fill>
    <fill>
      <patternFill patternType="solid">
        <fgColor rgb="FFFFF7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2C4"/>
      </left>
      <right style="thin">
        <color rgb="FFD5D2C4"/>
      </right>
      <top style="thin">
        <color rgb="FFD5D2C4"/>
      </top>
      <bottom style="thin">
        <color rgb="FFD5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2402F"/>
          <bgColor rgb="FF000000"/>
        </patternFill>
      </fill>
    </dxf>
    <dxf>
      <fill>
        <patternFill patternType="solid">
          <fgColor rgb="FFE4EFE2"/>
          <bgColor rgb="FF000000"/>
        </patternFill>
      </fill>
    </dxf>
    <dxf>
      <fill>
        <patternFill patternType="solid">
          <fgColor rgb="FFF7E3D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7A48"/>
      <rgbColor rgb="FF800080"/>
      <rgbColor rgb="FF008080"/>
      <rgbColor rgb="FFD5D2C4"/>
      <rgbColor rgb="FF6B7367"/>
      <rgbColor rgb="FF9999FF"/>
      <rgbColor rgb="FF993366"/>
      <rgbColor rgb="FFFFF7DC"/>
      <rgbColor rgb="FFEDEBE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2"/>
      <rgbColor rgb="FFFFFF99"/>
      <rgbColor rgb="FF99CCFF"/>
      <rgbColor rgb="FFFF99CC"/>
      <rgbColor rgb="FFCC99FF"/>
      <rgbColor rgb="FFF7E3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40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30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n">
        <v>1</v>
      </c>
      <c r="B6" s="6" t="n">
        <v>3151</v>
      </c>
      <c r="C6" s="6" t="n">
        <v>3138.8</v>
      </c>
      <c r="D6" s="7" t="n">
        <v>32.6</v>
      </c>
      <c r="E6" s="7" t="n">
        <v>32.9</v>
      </c>
      <c r="F6" s="7" t="n">
        <v>0.3</v>
      </c>
      <c r="G6" s="8" t="s">
        <v>15</v>
      </c>
      <c r="H6" s="7" t="n">
        <v>67.1</v>
      </c>
      <c r="I6" s="7" t="n">
        <v>107.6</v>
      </c>
      <c r="J6" s="7" t="n">
        <v>97.3</v>
      </c>
      <c r="K6" s="8" t="s">
        <v>16</v>
      </c>
      <c r="L6" s="8" t="s">
        <v>17</v>
      </c>
    </row>
    <row r="7" customFormat="false" ht="15" hidden="false" customHeight="false" outlineLevel="0" collapsed="false">
      <c r="A7" s="9" t="n">
        <v>2</v>
      </c>
      <c r="B7" s="10" t="n">
        <v>3105</v>
      </c>
      <c r="C7" s="10" t="n">
        <v>3092</v>
      </c>
      <c r="D7" s="11" t="n">
        <v>33.3</v>
      </c>
      <c r="E7" s="11" t="n">
        <v>33.2</v>
      </c>
      <c r="F7" s="11" t="n">
        <v>-0.1</v>
      </c>
      <c r="G7" s="12" t="s">
        <v>18</v>
      </c>
      <c r="H7" s="11" t="n">
        <v>33.2</v>
      </c>
      <c r="I7" s="11" t="n">
        <v>100.4</v>
      </c>
      <c r="J7" s="11" t="n">
        <v>95.5</v>
      </c>
      <c r="K7" s="12" t="s">
        <v>19</v>
      </c>
      <c r="L7" s="12" t="s">
        <v>20</v>
      </c>
    </row>
    <row r="8" customFormat="false" ht="15" hidden="false" customHeight="false" outlineLevel="0" collapsed="false">
      <c r="A8" s="9" t="n">
        <v>3</v>
      </c>
      <c r="B8" s="10" t="n">
        <v>3159</v>
      </c>
      <c r="C8" s="10" t="n">
        <v>3144.6</v>
      </c>
      <c r="D8" s="11" t="n">
        <v>33</v>
      </c>
      <c r="E8" s="11" t="n">
        <v>33</v>
      </c>
      <c r="F8" s="11" t="n">
        <v>0</v>
      </c>
      <c r="G8" s="12" t="s">
        <v>18</v>
      </c>
      <c r="H8" s="11" t="n">
        <v>33</v>
      </c>
      <c r="I8" s="11" t="n">
        <v>98.2</v>
      </c>
      <c r="J8" s="11" t="n">
        <v>98.2</v>
      </c>
      <c r="K8" s="12" t="s">
        <v>19</v>
      </c>
      <c r="L8" s="12" t="s">
        <v>20</v>
      </c>
    </row>
    <row r="9" customFormat="false" ht="15" hidden="false" customHeight="false" outlineLevel="0" collapsed="false">
      <c r="A9" s="9" t="n">
        <v>4</v>
      </c>
      <c r="B9" s="10" t="n">
        <v>3128</v>
      </c>
      <c r="C9" s="10" t="n">
        <v>3115.6</v>
      </c>
      <c r="D9" s="11" t="n">
        <v>32.1</v>
      </c>
      <c r="E9" s="11" t="n">
        <v>32.1</v>
      </c>
      <c r="F9" s="11" t="n">
        <v>0</v>
      </c>
      <c r="G9" s="12" t="s">
        <v>18</v>
      </c>
      <c r="H9" s="11" t="n">
        <v>32.1</v>
      </c>
      <c r="I9" s="11" t="n">
        <v>99.5</v>
      </c>
      <c r="J9" s="11" t="n">
        <v>97.8</v>
      </c>
      <c r="K9" s="12" t="s">
        <v>19</v>
      </c>
      <c r="L9" s="12" t="s">
        <v>20</v>
      </c>
    </row>
    <row r="10" customFormat="false" ht="15" hidden="false" customHeight="false" outlineLevel="0" collapsed="false">
      <c r="A10" s="5" t="n">
        <v>5</v>
      </c>
      <c r="B10" s="6" t="n">
        <v>3128</v>
      </c>
      <c r="C10" s="6" t="n">
        <v>3124.2</v>
      </c>
      <c r="D10" s="7" t="n">
        <v>28.9</v>
      </c>
      <c r="E10" s="7" t="n">
        <v>33.4</v>
      </c>
      <c r="F10" s="7" t="n">
        <v>4.5</v>
      </c>
      <c r="G10" s="8" t="s">
        <v>18</v>
      </c>
      <c r="H10" s="7" t="n">
        <v>33.4</v>
      </c>
      <c r="I10" s="7" t="n">
        <v>99.9</v>
      </c>
      <c r="J10" s="7" t="n">
        <v>95.5</v>
      </c>
      <c r="K10" s="8" t="s">
        <v>19</v>
      </c>
      <c r="L10" s="8" t="s">
        <v>17</v>
      </c>
    </row>
    <row r="11" customFormat="false" ht="15" hidden="false" customHeight="false" outlineLevel="0" collapsed="false">
      <c r="A11" s="5" t="n">
        <v>6</v>
      </c>
      <c r="B11" s="6" t="n">
        <v>3196</v>
      </c>
      <c r="C11" s="6" t="n">
        <v>3192.7</v>
      </c>
      <c r="D11" s="7" t="n">
        <v>22.5</v>
      </c>
      <c r="E11" s="7" t="n">
        <v>32.3</v>
      </c>
      <c r="F11" s="7" t="n">
        <v>9.8</v>
      </c>
      <c r="G11" s="8" t="s">
        <v>18</v>
      </c>
      <c r="H11" s="7" t="n">
        <v>32.3</v>
      </c>
      <c r="I11" s="7" t="n">
        <v>110.6</v>
      </c>
      <c r="J11" s="7" t="n">
        <v>104.6</v>
      </c>
      <c r="K11" s="8" t="s">
        <v>19</v>
      </c>
      <c r="L11" s="8" t="s">
        <v>17</v>
      </c>
    </row>
    <row r="12" customFormat="false" ht="15" hidden="false" customHeight="false" outlineLevel="0" collapsed="false">
      <c r="A12" s="5" t="n">
        <v>7</v>
      </c>
      <c r="B12" s="6" t="n">
        <v>3247</v>
      </c>
      <c r="C12" s="6" t="n">
        <v>3249.3</v>
      </c>
      <c r="D12" s="7" t="n">
        <v>23.7</v>
      </c>
      <c r="E12" s="7" t="n">
        <v>30</v>
      </c>
      <c r="F12" s="7" t="n">
        <v>6.3</v>
      </c>
      <c r="G12" s="8" t="s">
        <v>18</v>
      </c>
      <c r="H12" s="7" t="n">
        <v>30</v>
      </c>
      <c r="I12" s="7" t="n">
        <v>112.6</v>
      </c>
      <c r="J12" s="7" t="n">
        <v>111.2</v>
      </c>
      <c r="K12" s="8" t="s">
        <v>19</v>
      </c>
      <c r="L12" s="8" t="s">
        <v>17</v>
      </c>
    </row>
    <row r="13" customFormat="false" ht="15" hidden="false" customHeight="false" outlineLevel="0" collapsed="false">
      <c r="A13" s="9" t="n">
        <v>8</v>
      </c>
      <c r="B13" s="10" t="n">
        <v>3248</v>
      </c>
      <c r="C13" s="10" t="n">
        <v>3244.3</v>
      </c>
      <c r="D13" s="11" t="n">
        <v>30</v>
      </c>
      <c r="E13" s="11" t="n">
        <v>30</v>
      </c>
      <c r="F13" s="11" t="n">
        <v>0</v>
      </c>
      <c r="G13" s="12" t="s">
        <v>18</v>
      </c>
      <c r="H13" s="11" t="n">
        <v>30</v>
      </c>
      <c r="I13" s="11" t="n">
        <v>111.3</v>
      </c>
      <c r="J13" s="11" t="n">
        <v>111.3</v>
      </c>
      <c r="K13" s="12" t="s">
        <v>19</v>
      </c>
      <c r="L13" s="12" t="s">
        <v>20</v>
      </c>
    </row>
    <row r="14" customFormat="false" ht="15" hidden="false" customHeight="false" outlineLevel="0" collapsed="false">
      <c r="A14" s="5" t="n">
        <v>9</v>
      </c>
      <c r="B14" s="6" t="n">
        <v>3155</v>
      </c>
      <c r="C14" s="6" t="n">
        <v>3152.3</v>
      </c>
      <c r="D14" s="7" t="n">
        <v>30</v>
      </c>
      <c r="E14" s="7" t="n">
        <v>31</v>
      </c>
      <c r="F14" s="7" t="n">
        <v>1</v>
      </c>
      <c r="G14" s="8" t="s">
        <v>18</v>
      </c>
      <c r="H14" s="7" t="n">
        <v>31</v>
      </c>
      <c r="I14" s="7" t="n">
        <v>105.2</v>
      </c>
      <c r="J14" s="7" t="n">
        <v>105.2</v>
      </c>
      <c r="K14" s="8" t="s">
        <v>19</v>
      </c>
      <c r="L14" s="8" t="s">
        <v>17</v>
      </c>
    </row>
    <row r="15" customFormat="false" ht="15" hidden="false" customHeight="false" outlineLevel="0" collapsed="false">
      <c r="A15" s="9" t="n">
        <v>10</v>
      </c>
      <c r="B15" s="10" t="n">
        <v>3142</v>
      </c>
      <c r="C15" s="10" t="n">
        <v>3110.7</v>
      </c>
      <c r="D15" s="11" t="n">
        <v>34.6</v>
      </c>
      <c r="E15" s="11" t="n">
        <v>34.6</v>
      </c>
      <c r="F15" s="11" t="n">
        <v>0</v>
      </c>
      <c r="G15" s="12" t="s">
        <v>18</v>
      </c>
      <c r="H15" s="11" t="n">
        <v>34.6</v>
      </c>
      <c r="I15" s="11" t="n">
        <v>98.3</v>
      </c>
      <c r="J15" s="11" t="n">
        <v>96.5</v>
      </c>
      <c r="K15" s="12" t="s">
        <v>19</v>
      </c>
      <c r="L15" s="12" t="s">
        <v>20</v>
      </c>
    </row>
    <row r="16" customFormat="false" ht="15" hidden="false" customHeight="false" outlineLevel="0" collapsed="false">
      <c r="A16" s="5" t="n">
        <v>11</v>
      </c>
      <c r="B16" s="6" t="n">
        <v>3113</v>
      </c>
      <c r="C16" s="6" t="n">
        <v>3105.8</v>
      </c>
      <c r="D16" s="7" t="n">
        <v>18.4</v>
      </c>
      <c r="E16" s="7" t="n">
        <v>35.2</v>
      </c>
      <c r="F16" s="7" t="n">
        <v>16.8</v>
      </c>
      <c r="G16" s="8" t="s">
        <v>18</v>
      </c>
      <c r="H16" s="7" t="n">
        <v>35.2</v>
      </c>
      <c r="I16" s="7" t="n">
        <v>120.3</v>
      </c>
      <c r="J16" s="7" t="n">
        <v>96.6</v>
      </c>
      <c r="K16" s="8" t="s">
        <v>19</v>
      </c>
      <c r="L16" s="8" t="s">
        <v>17</v>
      </c>
    </row>
    <row r="17" customFormat="false" ht="15" hidden="false" customHeight="false" outlineLevel="0" collapsed="false">
      <c r="A17" s="5" t="n">
        <v>12</v>
      </c>
      <c r="B17" s="6" t="n">
        <v>3274</v>
      </c>
      <c r="C17" s="6" t="n">
        <v>3274.5</v>
      </c>
      <c r="D17" s="7" t="n">
        <v>29.2</v>
      </c>
      <c r="E17" s="7" t="n">
        <v>33.1</v>
      </c>
      <c r="F17" s="7" t="n">
        <v>3.9</v>
      </c>
      <c r="G17" s="8" t="s">
        <v>18</v>
      </c>
      <c r="H17" s="7" t="n">
        <v>33.1</v>
      </c>
      <c r="I17" s="7" t="n">
        <v>126.8</v>
      </c>
      <c r="J17" s="7" t="n">
        <v>102.3</v>
      </c>
      <c r="K17" s="8" t="s">
        <v>19</v>
      </c>
      <c r="L17" s="8" t="s">
        <v>17</v>
      </c>
    </row>
    <row r="18" customFormat="false" ht="15" hidden="false" customHeight="false" outlineLevel="0" collapsed="false">
      <c r="A18" s="9" t="n">
        <v>13</v>
      </c>
      <c r="B18" s="10" t="n">
        <v>3390</v>
      </c>
      <c r="C18" s="10" t="n">
        <v>3390.4</v>
      </c>
      <c r="D18" s="11" t="n">
        <v>32.3</v>
      </c>
      <c r="E18" s="11" t="n">
        <v>32.3</v>
      </c>
      <c r="F18" s="11" t="n">
        <v>0</v>
      </c>
      <c r="G18" s="12" t="s">
        <v>18</v>
      </c>
      <c r="H18" s="11" t="n">
        <v>32.3</v>
      </c>
      <c r="I18" s="11" t="n">
        <v>125.4</v>
      </c>
      <c r="J18" s="11" t="n">
        <v>105.3</v>
      </c>
      <c r="K18" s="12" t="s">
        <v>19</v>
      </c>
      <c r="L18" s="12" t="s">
        <v>20</v>
      </c>
    </row>
    <row r="19" customFormat="false" ht="15" hidden="false" customHeight="false" outlineLevel="0" collapsed="false">
      <c r="A19" s="9" t="n">
        <v>14</v>
      </c>
      <c r="B19" s="10" t="n">
        <v>3399</v>
      </c>
      <c r="C19" s="10" t="n">
        <v>3400.5</v>
      </c>
      <c r="D19" s="11" t="n">
        <v>31.6</v>
      </c>
      <c r="E19" s="11" t="n">
        <v>31.6</v>
      </c>
      <c r="F19" s="11" t="n">
        <v>0</v>
      </c>
      <c r="G19" s="12" t="s">
        <v>18</v>
      </c>
      <c r="H19" s="11" t="n">
        <v>31.6</v>
      </c>
      <c r="I19" s="11" t="n">
        <v>123.6</v>
      </c>
      <c r="J19" s="11" t="n">
        <v>107.5</v>
      </c>
      <c r="K19" s="12" t="s">
        <v>19</v>
      </c>
      <c r="L19" s="12" t="s">
        <v>20</v>
      </c>
    </row>
    <row r="20" customFormat="false" ht="15" hidden="false" customHeight="false" outlineLevel="0" collapsed="false">
      <c r="A20" s="9" t="n">
        <v>15</v>
      </c>
      <c r="B20" s="10" t="n">
        <v>3301</v>
      </c>
      <c r="C20" s="10" t="n">
        <v>3302.3</v>
      </c>
      <c r="D20" s="11" t="n">
        <v>31.1</v>
      </c>
      <c r="E20" s="11" t="n">
        <v>31.1</v>
      </c>
      <c r="F20" s="11" t="n">
        <v>0</v>
      </c>
      <c r="G20" s="12" t="s">
        <v>18</v>
      </c>
      <c r="H20" s="11" t="n">
        <v>31.1</v>
      </c>
      <c r="I20" s="11" t="n">
        <v>114.5</v>
      </c>
      <c r="J20" s="11" t="n">
        <v>109.3</v>
      </c>
      <c r="K20" s="12" t="s">
        <v>19</v>
      </c>
      <c r="L20" s="12" t="s">
        <v>20</v>
      </c>
    </row>
    <row r="21" customFormat="false" ht="15" hidden="false" customHeight="false" outlineLevel="0" collapsed="false">
      <c r="A21" s="9" t="n">
        <v>16</v>
      </c>
      <c r="B21" s="10" t="n">
        <v>3171</v>
      </c>
      <c r="C21" s="10" t="n">
        <v>3172.4</v>
      </c>
      <c r="D21" s="11" t="n">
        <v>31.7</v>
      </c>
      <c r="E21" s="11" t="n">
        <v>31.7</v>
      </c>
      <c r="F21" s="11" t="n">
        <v>0</v>
      </c>
      <c r="G21" s="12" t="s">
        <v>18</v>
      </c>
      <c r="H21" s="11" t="n">
        <v>31.7</v>
      </c>
      <c r="I21" s="11" t="n">
        <v>106.4</v>
      </c>
      <c r="J21" s="11" t="n">
        <v>103.6</v>
      </c>
      <c r="K21" s="12" t="s">
        <v>19</v>
      </c>
      <c r="L21" s="12" t="s">
        <v>20</v>
      </c>
    </row>
    <row r="22" customFormat="false" ht="15" hidden="false" customHeight="false" outlineLevel="0" collapsed="false">
      <c r="A22" s="9" t="n">
        <v>17</v>
      </c>
      <c r="B22" s="10" t="n">
        <v>3173</v>
      </c>
      <c r="C22" s="10" t="n">
        <v>3174.3</v>
      </c>
      <c r="D22" s="11" t="n">
        <v>32.4</v>
      </c>
      <c r="E22" s="11" t="n">
        <v>32.4</v>
      </c>
      <c r="F22" s="11" t="n">
        <v>0</v>
      </c>
      <c r="G22" s="12" t="s">
        <v>18</v>
      </c>
      <c r="H22" s="11" t="n">
        <v>32.4</v>
      </c>
      <c r="I22" s="11" t="n">
        <v>104.6</v>
      </c>
      <c r="J22" s="11" t="n">
        <v>98.3</v>
      </c>
      <c r="K22" s="12" t="s">
        <v>19</v>
      </c>
      <c r="L22" s="12" t="s">
        <v>20</v>
      </c>
    </row>
    <row r="23" customFormat="false" ht="15" hidden="false" customHeight="false" outlineLevel="0" collapsed="false">
      <c r="A23" s="5" t="n">
        <v>18</v>
      </c>
      <c r="B23" s="6" t="n">
        <v>3160</v>
      </c>
      <c r="C23" s="6" t="n">
        <v>3150</v>
      </c>
      <c r="D23" s="7" t="n">
        <v>19.7</v>
      </c>
      <c r="E23" s="7" t="n">
        <v>32.5</v>
      </c>
      <c r="F23" s="7" t="n">
        <v>12.8</v>
      </c>
      <c r="G23" s="8" t="s">
        <v>18</v>
      </c>
      <c r="H23" s="7" t="n">
        <v>32.5</v>
      </c>
      <c r="I23" s="7" t="n">
        <v>102.4</v>
      </c>
      <c r="J23" s="7" t="n">
        <v>98.5</v>
      </c>
      <c r="K23" s="8" t="s">
        <v>19</v>
      </c>
      <c r="L23" s="8" t="s">
        <v>17</v>
      </c>
    </row>
    <row r="24" customFormat="false" ht="15" hidden="false" customHeight="false" outlineLevel="0" collapsed="false">
      <c r="A24" s="5" t="n">
        <v>19</v>
      </c>
      <c r="B24" s="6" t="n">
        <v>3105</v>
      </c>
      <c r="C24" s="6" t="n">
        <v>3084.3</v>
      </c>
      <c r="D24" s="7" t="n">
        <v>27.5</v>
      </c>
      <c r="E24" s="7" t="n">
        <v>39.7</v>
      </c>
      <c r="F24" s="7" t="n">
        <v>12.2</v>
      </c>
      <c r="G24" s="8" t="s">
        <v>18</v>
      </c>
      <c r="H24" s="7" t="n">
        <v>39.7</v>
      </c>
      <c r="I24" s="7" t="n">
        <v>97.1</v>
      </c>
      <c r="J24" s="7" t="n">
        <v>86.6</v>
      </c>
      <c r="K24" s="8" t="s">
        <v>19</v>
      </c>
      <c r="L24" s="8" t="s">
        <v>17</v>
      </c>
    </row>
    <row r="25" customFormat="false" ht="15" hidden="false" customHeight="false" outlineLevel="0" collapsed="false">
      <c r="A25" s="5" t="n">
        <v>20</v>
      </c>
      <c r="B25" s="6" t="n">
        <v>3717</v>
      </c>
      <c r="C25" s="6" t="n">
        <v>3712.8</v>
      </c>
      <c r="D25" s="7" t="n">
        <v>85.4</v>
      </c>
      <c r="E25" s="7" t="n">
        <v>87.9</v>
      </c>
      <c r="F25" s="7" t="n">
        <v>2.5</v>
      </c>
      <c r="G25" s="8" t="s">
        <v>18</v>
      </c>
      <c r="H25" s="7" t="n">
        <v>87.9</v>
      </c>
      <c r="I25" s="7" t="n">
        <v>78.1</v>
      </c>
      <c r="J25" s="7" t="n">
        <v>65.1</v>
      </c>
      <c r="K25" s="8" t="s">
        <v>19</v>
      </c>
      <c r="L25" s="8" t="s">
        <v>17</v>
      </c>
    </row>
    <row r="26" customFormat="false" ht="15" hidden="false" customHeight="false" outlineLevel="0" collapsed="false">
      <c r="A26" s="5" t="n">
        <v>21</v>
      </c>
      <c r="B26" s="6" t="n">
        <v>3128</v>
      </c>
      <c r="C26" s="6" t="n">
        <v>3124.7</v>
      </c>
      <c r="D26" s="7" t="n">
        <v>33.3</v>
      </c>
      <c r="E26" s="7" t="n">
        <v>63</v>
      </c>
      <c r="F26" s="7" t="n">
        <v>29.7</v>
      </c>
      <c r="G26" s="8" t="s">
        <v>21</v>
      </c>
      <c r="H26" s="7" t="n">
        <v>69</v>
      </c>
      <c r="I26" s="7" t="n">
        <v>63</v>
      </c>
      <c r="J26" s="7" t="n">
        <v>62.5</v>
      </c>
      <c r="K26" s="8" t="s">
        <v>19</v>
      </c>
      <c r="L26" s="8" t="s">
        <v>17</v>
      </c>
    </row>
    <row r="27" customFormat="false" ht="15" hidden="false" customHeight="false" outlineLevel="0" collapsed="false">
      <c r="A27" s="5" t="n">
        <v>22</v>
      </c>
      <c r="B27" s="6" t="n">
        <v>3114</v>
      </c>
      <c r="C27" s="6" t="n">
        <v>3091.8</v>
      </c>
      <c r="D27" s="7" t="n">
        <v>32.8</v>
      </c>
      <c r="E27" s="7" t="n">
        <v>58.7</v>
      </c>
      <c r="F27" s="7" t="n">
        <v>25.9</v>
      </c>
      <c r="G27" s="8" t="s">
        <v>18</v>
      </c>
      <c r="H27" s="7" t="n">
        <v>58.7</v>
      </c>
      <c r="I27" s="7" t="n">
        <v>70.5</v>
      </c>
      <c r="J27" s="7" t="n">
        <v>71.4</v>
      </c>
      <c r="K27" s="8" t="s">
        <v>19</v>
      </c>
      <c r="L27" s="8" t="s">
        <v>17</v>
      </c>
    </row>
    <row r="28" customFormat="false" ht="15" hidden="false" customHeight="false" outlineLevel="0" collapsed="false">
      <c r="A28" s="9" t="n">
        <v>23</v>
      </c>
      <c r="B28" s="10" t="n">
        <v>3103</v>
      </c>
      <c r="C28" s="10" t="n">
        <v>3099.8</v>
      </c>
      <c r="D28" s="11" t="n">
        <v>44</v>
      </c>
      <c r="E28" s="11" t="n">
        <v>44</v>
      </c>
      <c r="F28" s="11" t="n">
        <v>0</v>
      </c>
      <c r="G28" s="12" t="s">
        <v>18</v>
      </c>
      <c r="H28" s="11" t="n">
        <v>44</v>
      </c>
      <c r="I28" s="11" t="n">
        <v>71.4</v>
      </c>
      <c r="J28" s="11" t="n">
        <v>71.4</v>
      </c>
      <c r="K28" s="12" t="s">
        <v>19</v>
      </c>
      <c r="L28" s="12" t="s">
        <v>20</v>
      </c>
    </row>
    <row r="29" customFormat="false" ht="15" hidden="false" customHeight="false" outlineLevel="0" collapsed="false">
      <c r="A29" s="9" t="n">
        <v>24</v>
      </c>
      <c r="B29" s="10" t="n">
        <v>3119</v>
      </c>
      <c r="C29" s="10" t="n">
        <v>3115.5</v>
      </c>
      <c r="D29" s="11" t="n">
        <v>46</v>
      </c>
      <c r="E29" s="11" t="n">
        <v>46</v>
      </c>
      <c r="F29" s="11" t="n">
        <v>0</v>
      </c>
      <c r="G29" s="12" t="s">
        <v>18</v>
      </c>
      <c r="H29" s="11" t="n">
        <v>46</v>
      </c>
      <c r="I29" s="11" t="n">
        <v>69.3</v>
      </c>
      <c r="J29" s="11" t="n">
        <v>69.2</v>
      </c>
      <c r="K29" s="12" t="s">
        <v>19</v>
      </c>
      <c r="L29" s="12" t="s">
        <v>20</v>
      </c>
    </row>
    <row r="30" customFormat="false" ht="15" hidden="false" customHeight="false" outlineLevel="0" collapsed="false">
      <c r="A30" s="5" t="n">
        <v>25</v>
      </c>
      <c r="B30" s="6" t="n">
        <v>3104</v>
      </c>
      <c r="C30" s="6" t="n">
        <v>3114.6</v>
      </c>
      <c r="D30" s="7" t="n">
        <v>26.3</v>
      </c>
      <c r="E30" s="7" t="n">
        <v>32</v>
      </c>
      <c r="F30" s="7" t="n">
        <v>5.7</v>
      </c>
      <c r="G30" s="8" t="s">
        <v>18</v>
      </c>
      <c r="H30" s="7" t="n">
        <v>32</v>
      </c>
      <c r="I30" s="7" t="n">
        <v>83.7</v>
      </c>
      <c r="J30" s="7" t="n">
        <v>83.6</v>
      </c>
      <c r="K30" s="8" t="s">
        <v>19</v>
      </c>
      <c r="L30" s="8" t="s">
        <v>17</v>
      </c>
    </row>
    <row r="31" customFormat="false" ht="15" hidden="false" customHeight="false" outlineLevel="0" collapsed="false">
      <c r="A31" s="5" t="n">
        <v>26</v>
      </c>
      <c r="B31" s="6" t="n">
        <v>3702</v>
      </c>
      <c r="C31" s="6" t="n">
        <v>3711.3</v>
      </c>
      <c r="D31" s="7" t="n">
        <v>26.4</v>
      </c>
      <c r="E31" s="7" t="n">
        <v>30</v>
      </c>
      <c r="F31" s="7" t="n">
        <v>3.6</v>
      </c>
      <c r="G31" s="8" t="s">
        <v>18</v>
      </c>
      <c r="H31" s="7" t="n">
        <v>30</v>
      </c>
      <c r="I31" s="7" t="n">
        <v>94.8</v>
      </c>
      <c r="J31" s="7" t="n">
        <v>94.8</v>
      </c>
      <c r="K31" s="8" t="s">
        <v>19</v>
      </c>
      <c r="L31" s="8" t="s">
        <v>17</v>
      </c>
    </row>
    <row r="32" customFormat="false" ht="15" hidden="false" customHeight="false" outlineLevel="0" collapsed="false">
      <c r="A32" s="9" t="n">
        <v>27</v>
      </c>
      <c r="B32" s="10" t="n">
        <v>3208</v>
      </c>
      <c r="C32" s="10" t="n">
        <v>3199.9</v>
      </c>
      <c r="D32" s="11" t="n">
        <v>30</v>
      </c>
      <c r="E32" s="11" t="n">
        <v>30</v>
      </c>
      <c r="F32" s="11" t="n">
        <v>0</v>
      </c>
      <c r="G32" s="12" t="s">
        <v>18</v>
      </c>
      <c r="H32" s="11" t="n">
        <v>30</v>
      </c>
      <c r="I32" s="11" t="n">
        <v>92.2</v>
      </c>
      <c r="J32" s="11" t="n">
        <v>92.1</v>
      </c>
      <c r="K32" s="12" t="s">
        <v>19</v>
      </c>
      <c r="L32" s="12" t="s">
        <v>20</v>
      </c>
    </row>
    <row r="33" customFormat="false" ht="15" hidden="false" customHeight="false" outlineLevel="0" collapsed="false">
      <c r="A33" s="9" t="n">
        <v>28</v>
      </c>
      <c r="B33" s="10" t="n">
        <v>3143</v>
      </c>
      <c r="C33" s="10" t="n">
        <v>3133.2</v>
      </c>
      <c r="D33" s="11" t="n">
        <v>35.7</v>
      </c>
      <c r="E33" s="11" t="n">
        <v>35.7</v>
      </c>
      <c r="F33" s="11" t="n">
        <v>0</v>
      </c>
      <c r="G33" s="12" t="s">
        <v>18</v>
      </c>
      <c r="H33" s="11" t="n">
        <v>35.7</v>
      </c>
      <c r="I33" s="11" t="n">
        <v>100.5</v>
      </c>
      <c r="J33" s="11" t="n">
        <v>91.4</v>
      </c>
      <c r="K33" s="12" t="s">
        <v>19</v>
      </c>
      <c r="L33" s="12" t="s">
        <v>20</v>
      </c>
    </row>
    <row r="34" customFormat="false" ht="15" hidden="false" customHeight="false" outlineLevel="0" collapsed="false">
      <c r="A34" s="9" t="n">
        <v>29</v>
      </c>
      <c r="B34" s="10" t="n">
        <v>3136</v>
      </c>
      <c r="C34" s="10" t="n">
        <v>3127.3</v>
      </c>
      <c r="D34" s="11" t="n">
        <v>33.1</v>
      </c>
      <c r="E34" s="11" t="n">
        <v>33.1</v>
      </c>
      <c r="F34" s="11" t="n">
        <v>0</v>
      </c>
      <c r="G34" s="12" t="s">
        <v>18</v>
      </c>
      <c r="H34" s="11" t="n">
        <v>33.1</v>
      </c>
      <c r="I34" s="11" t="n">
        <v>111.2</v>
      </c>
      <c r="J34" s="11" t="n">
        <v>99.1</v>
      </c>
      <c r="K34" s="12" t="s">
        <v>19</v>
      </c>
      <c r="L34" s="12" t="s">
        <v>20</v>
      </c>
    </row>
    <row r="35" customFormat="false" ht="15" hidden="false" customHeight="false" outlineLevel="0" collapsed="false">
      <c r="A35" s="9" t="n">
        <v>30</v>
      </c>
      <c r="B35" s="10" t="n">
        <v>3217</v>
      </c>
      <c r="C35" s="10" t="n">
        <v>3208.9</v>
      </c>
      <c r="D35" s="11" t="n">
        <v>31.6</v>
      </c>
      <c r="E35" s="11" t="n">
        <v>31.6</v>
      </c>
      <c r="F35" s="11" t="n">
        <v>0</v>
      </c>
      <c r="G35" s="12" t="s">
        <v>18</v>
      </c>
      <c r="H35" s="11" t="n">
        <v>31.6</v>
      </c>
      <c r="I35" s="11" t="n">
        <v>122.2</v>
      </c>
      <c r="J35" s="11" t="n">
        <v>106.6</v>
      </c>
      <c r="K35" s="12" t="s">
        <v>19</v>
      </c>
      <c r="L35" s="12" t="s">
        <v>20</v>
      </c>
    </row>
    <row r="36" customFormat="false" ht="15" hidden="false" customHeight="false" outlineLevel="0" collapsed="false">
      <c r="A36" s="9" t="n">
        <v>31</v>
      </c>
      <c r="B36" s="10" t="n">
        <v>3557</v>
      </c>
      <c r="C36" s="10" t="n">
        <v>3548</v>
      </c>
      <c r="D36" s="11" t="n">
        <v>32.2</v>
      </c>
      <c r="E36" s="11" t="n">
        <v>32.2</v>
      </c>
      <c r="F36" s="11" t="n">
        <v>0</v>
      </c>
      <c r="G36" s="12" t="s">
        <v>18</v>
      </c>
      <c r="H36" s="11" t="n">
        <v>32.2</v>
      </c>
      <c r="I36" s="11" t="n">
        <v>135.8</v>
      </c>
      <c r="J36" s="11" t="n">
        <v>115.4</v>
      </c>
      <c r="K36" s="12" t="s">
        <v>19</v>
      </c>
      <c r="L36" s="12" t="s">
        <v>20</v>
      </c>
    </row>
    <row r="37" customFormat="false" ht="15" hidden="false" customHeight="false" outlineLevel="0" collapsed="false">
      <c r="A37" s="5" t="n">
        <v>32</v>
      </c>
      <c r="B37" s="6" t="n">
        <v>3736</v>
      </c>
      <c r="C37" s="6" t="n">
        <v>3727.8</v>
      </c>
      <c r="D37" s="7" t="n">
        <v>30.9</v>
      </c>
      <c r="E37" s="7" t="n">
        <v>33</v>
      </c>
      <c r="F37" s="7" t="n">
        <v>2.1</v>
      </c>
      <c r="G37" s="8" t="s">
        <v>18</v>
      </c>
      <c r="H37" s="7" t="n">
        <v>33</v>
      </c>
      <c r="I37" s="7" t="n">
        <v>137</v>
      </c>
      <c r="J37" s="7" t="n">
        <v>113.4</v>
      </c>
      <c r="K37" s="8" t="s">
        <v>19</v>
      </c>
      <c r="L37" s="8" t="s">
        <v>17</v>
      </c>
    </row>
    <row r="38" customFormat="false" ht="15" hidden="false" customHeight="false" outlineLevel="0" collapsed="false">
      <c r="A38" s="5" t="n">
        <v>33</v>
      </c>
      <c r="B38" s="6" t="n">
        <v>3606</v>
      </c>
      <c r="C38" s="6" t="n">
        <v>3603.6</v>
      </c>
      <c r="D38" s="7" t="n">
        <v>20.7</v>
      </c>
      <c r="E38" s="7" t="n">
        <v>33.2</v>
      </c>
      <c r="F38" s="7" t="n">
        <v>12.5</v>
      </c>
      <c r="G38" s="8" t="s">
        <v>18</v>
      </c>
      <c r="H38" s="7" t="n">
        <v>33.2</v>
      </c>
      <c r="I38" s="7" t="n">
        <v>131.5</v>
      </c>
      <c r="J38" s="7" t="n">
        <v>111.3</v>
      </c>
      <c r="K38" s="8" t="s">
        <v>19</v>
      </c>
      <c r="L38" s="8" t="s">
        <v>17</v>
      </c>
    </row>
    <row r="39" customFormat="false" ht="15" hidden="false" customHeight="false" outlineLevel="0" collapsed="false">
      <c r="A39" s="5" t="n">
        <v>34</v>
      </c>
      <c r="B39" s="6" t="n">
        <v>3449</v>
      </c>
      <c r="C39" s="6" t="n">
        <v>3456.4</v>
      </c>
      <c r="D39" s="7" t="n">
        <v>25.8</v>
      </c>
      <c r="E39" s="7" t="n">
        <v>31</v>
      </c>
      <c r="F39" s="7" t="n">
        <v>5.2</v>
      </c>
      <c r="G39" s="8" t="s">
        <v>18</v>
      </c>
      <c r="H39" s="7" t="n">
        <v>31</v>
      </c>
      <c r="I39" s="7" t="n">
        <v>120.1</v>
      </c>
      <c r="J39" s="7" t="n">
        <v>113.7</v>
      </c>
      <c r="K39" s="8" t="s">
        <v>19</v>
      </c>
      <c r="L39" s="8" t="s">
        <v>17</v>
      </c>
    </row>
    <row r="40" customFormat="false" ht="15" hidden="false" customHeight="false" outlineLevel="0" collapsed="false">
      <c r="A40" s="5" t="n">
        <v>35</v>
      </c>
      <c r="B40" s="6" t="n">
        <v>3331</v>
      </c>
      <c r="C40" s="6" t="n">
        <v>3329.1</v>
      </c>
      <c r="D40" s="7" t="n">
        <v>16.5</v>
      </c>
      <c r="E40" s="7" t="n">
        <v>30</v>
      </c>
      <c r="F40" s="7" t="n">
        <v>13.5</v>
      </c>
      <c r="G40" s="8" t="s">
        <v>18</v>
      </c>
      <c r="H40" s="7" t="n">
        <v>30</v>
      </c>
      <c r="I40" s="7" t="n">
        <v>112.2</v>
      </c>
      <c r="J40" s="7" t="n">
        <v>112</v>
      </c>
      <c r="K40" s="8" t="s">
        <v>19</v>
      </c>
      <c r="L40" s="8" t="s">
        <v>17</v>
      </c>
    </row>
    <row r="41" customFormat="false" ht="15" hidden="false" customHeight="false" outlineLevel="0" collapsed="false">
      <c r="A41" s="9" t="n">
        <v>36</v>
      </c>
      <c r="B41" s="10" t="n">
        <v>3372</v>
      </c>
      <c r="C41" s="10" t="n">
        <v>3368.9</v>
      </c>
      <c r="D41" s="11" t="n">
        <v>30</v>
      </c>
      <c r="E41" s="11" t="n">
        <v>30</v>
      </c>
      <c r="F41" s="11" t="n">
        <v>0</v>
      </c>
      <c r="G41" s="12" t="s">
        <v>18</v>
      </c>
      <c r="H41" s="11" t="n">
        <v>30</v>
      </c>
      <c r="I41" s="11" t="n">
        <v>114.9</v>
      </c>
      <c r="J41" s="11" t="n">
        <v>114.8</v>
      </c>
      <c r="K41" s="12" t="s">
        <v>19</v>
      </c>
      <c r="L41" s="12" t="s">
        <v>20</v>
      </c>
    </row>
    <row r="42" customFormat="false" ht="15" hidden="false" customHeight="false" outlineLevel="0" collapsed="false">
      <c r="A42" s="5" t="n">
        <v>37</v>
      </c>
      <c r="B42" s="6" t="n">
        <v>3592</v>
      </c>
      <c r="C42" s="6" t="n">
        <v>3587.3</v>
      </c>
      <c r="D42" s="7" t="n">
        <v>20</v>
      </c>
      <c r="E42" s="7" t="n">
        <v>30</v>
      </c>
      <c r="F42" s="7" t="n">
        <v>10</v>
      </c>
      <c r="G42" s="8" t="s">
        <v>18</v>
      </c>
      <c r="H42" s="7" t="n">
        <v>30</v>
      </c>
      <c r="I42" s="7" t="n">
        <v>124.7</v>
      </c>
      <c r="J42" s="7" t="n">
        <v>124.5</v>
      </c>
      <c r="K42" s="8" t="s">
        <v>19</v>
      </c>
      <c r="L42" s="8" t="s">
        <v>17</v>
      </c>
    </row>
    <row r="43" customFormat="false" ht="15" hidden="false" customHeight="false" outlineLevel="0" collapsed="false">
      <c r="A43" s="5" t="n">
        <v>38</v>
      </c>
      <c r="B43" s="6" t="n">
        <v>3721</v>
      </c>
      <c r="C43" s="6" t="n">
        <v>3713.5</v>
      </c>
      <c r="D43" s="7" t="n">
        <v>21.8</v>
      </c>
      <c r="E43" s="7" t="n">
        <v>30.2</v>
      </c>
      <c r="F43" s="7" t="n">
        <v>8.4</v>
      </c>
      <c r="G43" s="8" t="s">
        <v>18</v>
      </c>
      <c r="H43" s="7" t="n">
        <v>30.2</v>
      </c>
      <c r="I43" s="7" t="n">
        <v>126.5</v>
      </c>
      <c r="J43" s="7" t="n">
        <v>124.5</v>
      </c>
      <c r="K43" s="8" t="s">
        <v>19</v>
      </c>
      <c r="L43" s="8" t="s">
        <v>17</v>
      </c>
    </row>
    <row r="44" customFormat="false" ht="15" hidden="false" customHeight="false" outlineLevel="0" collapsed="false">
      <c r="A44" s="9" t="n">
        <v>39</v>
      </c>
      <c r="B44" s="10" t="n">
        <v>3476</v>
      </c>
      <c r="C44" s="10" t="n">
        <v>3474.4</v>
      </c>
      <c r="D44" s="11" t="n">
        <v>30.4</v>
      </c>
      <c r="E44" s="11" t="n">
        <v>30.3</v>
      </c>
      <c r="F44" s="11" t="n">
        <v>-0.1</v>
      </c>
      <c r="G44" s="12" t="s">
        <v>22</v>
      </c>
      <c r="H44" s="11" t="n">
        <v>64.8</v>
      </c>
      <c r="I44" s="11" t="n">
        <v>123.2</v>
      </c>
      <c r="J44" s="11" t="n">
        <v>119.8</v>
      </c>
      <c r="K44" s="12" t="s">
        <v>16</v>
      </c>
      <c r="L44" s="12" t="s">
        <v>20</v>
      </c>
    </row>
    <row r="45" customFormat="false" ht="15" hidden="false" customHeight="false" outlineLevel="0" collapsed="false">
      <c r="A45" s="5" t="n">
        <v>40</v>
      </c>
      <c r="B45" s="6" t="n">
        <v>3125</v>
      </c>
      <c r="C45" s="6" t="n">
        <v>3137.8</v>
      </c>
      <c r="D45" s="7" t="n">
        <v>18.7</v>
      </c>
      <c r="E45" s="7" t="n">
        <v>31.3</v>
      </c>
      <c r="F45" s="7" t="n">
        <v>12.6</v>
      </c>
      <c r="G45" s="8" t="s">
        <v>23</v>
      </c>
      <c r="H45" s="7" t="n">
        <v>62.6</v>
      </c>
      <c r="I45" s="7" t="n">
        <v>105.4</v>
      </c>
      <c r="J45" s="7" t="n">
        <v>104.3</v>
      </c>
      <c r="K45" s="8" t="s">
        <v>24</v>
      </c>
      <c r="L45" s="8" t="s">
        <v>17</v>
      </c>
    </row>
    <row r="46" customFormat="false" ht="15" hidden="false" customHeight="false" outlineLevel="0" collapsed="false">
      <c r="A46" s="9" t="n">
        <v>41</v>
      </c>
      <c r="B46" s="10" t="n">
        <v>3197</v>
      </c>
      <c r="C46" s="10" t="n">
        <v>3201.2</v>
      </c>
      <c r="D46" s="11" t="n">
        <v>32</v>
      </c>
      <c r="E46" s="11" t="n">
        <v>32.1</v>
      </c>
      <c r="F46" s="11" t="n">
        <v>0.1</v>
      </c>
      <c r="G46" s="12" t="s">
        <v>25</v>
      </c>
      <c r="H46" s="11" t="n">
        <v>64.1</v>
      </c>
      <c r="I46" s="11" t="n">
        <v>101.8</v>
      </c>
      <c r="J46" s="11" t="n">
        <v>100.5</v>
      </c>
      <c r="K46" s="12" t="s">
        <v>24</v>
      </c>
      <c r="L46" s="12" t="s">
        <v>20</v>
      </c>
    </row>
    <row r="47" customFormat="false" ht="15" hidden="false" customHeight="false" outlineLevel="0" collapsed="false">
      <c r="A47" s="5" t="n">
        <v>42</v>
      </c>
      <c r="B47" s="6" t="n">
        <v>3100</v>
      </c>
      <c r="C47" s="6" t="n">
        <v>3104.9</v>
      </c>
      <c r="D47" s="7" t="n">
        <v>32</v>
      </c>
      <c r="E47" s="7" t="n">
        <v>33.2</v>
      </c>
      <c r="F47" s="7" t="n">
        <v>1.2</v>
      </c>
      <c r="G47" s="8" t="s">
        <v>25</v>
      </c>
      <c r="H47" s="7" t="n">
        <v>65.2</v>
      </c>
      <c r="I47" s="7" t="n">
        <v>102.1</v>
      </c>
      <c r="J47" s="7" t="n">
        <v>97.3</v>
      </c>
      <c r="K47" s="8" t="s">
        <v>24</v>
      </c>
      <c r="L47" s="8" t="s">
        <v>17</v>
      </c>
    </row>
    <row r="48" customFormat="false" ht="15" hidden="false" customHeight="false" outlineLevel="0" collapsed="false">
      <c r="A48" s="9" t="n">
        <v>43</v>
      </c>
      <c r="B48" s="10" t="n">
        <v>3169</v>
      </c>
      <c r="C48" s="10" t="n">
        <v>3176.5</v>
      </c>
      <c r="D48" s="11" t="n">
        <v>36.5</v>
      </c>
      <c r="E48" s="11" t="n">
        <v>36.5</v>
      </c>
      <c r="F48" s="11" t="n">
        <v>0</v>
      </c>
      <c r="G48" s="12" t="s">
        <v>26</v>
      </c>
      <c r="H48" s="11" t="n">
        <v>71.9</v>
      </c>
      <c r="I48" s="11" t="n">
        <v>98.9</v>
      </c>
      <c r="J48" s="11" t="n">
        <v>89.3</v>
      </c>
      <c r="K48" s="12" t="s">
        <v>24</v>
      </c>
      <c r="L48" s="12" t="s">
        <v>20</v>
      </c>
    </row>
    <row r="49" customFormat="false" ht="15" hidden="false" customHeight="false" outlineLevel="0" collapsed="false">
      <c r="A49" s="9" t="n">
        <v>44</v>
      </c>
      <c r="B49" s="10" t="n">
        <v>3161</v>
      </c>
      <c r="C49" s="10" t="n">
        <v>3172.6</v>
      </c>
      <c r="D49" s="11" t="n">
        <v>37.4</v>
      </c>
      <c r="E49" s="11" t="n">
        <v>37.4</v>
      </c>
      <c r="F49" s="11" t="n">
        <v>0</v>
      </c>
      <c r="G49" s="12" t="s">
        <v>27</v>
      </c>
      <c r="H49" s="11" t="n">
        <v>74.7</v>
      </c>
      <c r="I49" s="11" t="n">
        <v>98.5</v>
      </c>
      <c r="J49" s="11" t="n">
        <v>85.5</v>
      </c>
      <c r="K49" s="12" t="s">
        <v>24</v>
      </c>
      <c r="L49" s="12" t="s">
        <v>20</v>
      </c>
    </row>
    <row r="50" customFormat="false" ht="15" hidden="false" customHeight="false" outlineLevel="0" collapsed="false">
      <c r="A50" s="9" t="n">
        <v>45</v>
      </c>
      <c r="B50" s="10" t="n">
        <v>3175</v>
      </c>
      <c r="C50" s="10" t="n">
        <v>3035.7</v>
      </c>
      <c r="D50" s="11" t="n">
        <v>68.9</v>
      </c>
      <c r="E50" s="11" t="n">
        <v>68.9</v>
      </c>
      <c r="F50" s="11" t="n">
        <v>0</v>
      </c>
      <c r="G50" s="12" t="s">
        <v>28</v>
      </c>
      <c r="H50" s="11" t="n">
        <v>148.6</v>
      </c>
      <c r="I50" s="11" t="n">
        <v>94.2</v>
      </c>
      <c r="J50" s="11" t="n">
        <v>40</v>
      </c>
      <c r="K50" s="12" t="s">
        <v>16</v>
      </c>
      <c r="L50" s="12" t="s">
        <v>20</v>
      </c>
    </row>
    <row r="51" customFormat="false" ht="15" hidden="false" customHeight="false" outlineLevel="0" collapsed="false">
      <c r="A51" s="5" t="n">
        <v>46</v>
      </c>
      <c r="B51" s="6" t="n">
        <v>6913</v>
      </c>
      <c r="C51" s="6" t="n">
        <v>6864.3</v>
      </c>
      <c r="D51" s="7" t="n">
        <v>33.1</v>
      </c>
      <c r="E51" s="7" t="n">
        <v>128.4</v>
      </c>
      <c r="F51" s="7" t="n">
        <v>95.3</v>
      </c>
      <c r="G51" s="8" t="s">
        <v>29</v>
      </c>
      <c r="H51" s="7" t="n">
        <v>138.4</v>
      </c>
      <c r="I51" s="7" t="n">
        <v>108.7</v>
      </c>
      <c r="J51" s="7" t="n">
        <v>88.7</v>
      </c>
      <c r="K51" s="8" t="s">
        <v>16</v>
      </c>
      <c r="L51" s="8" t="s">
        <v>17</v>
      </c>
    </row>
    <row r="52" customFormat="false" ht="15" hidden="false" customHeight="false" outlineLevel="0" collapsed="false">
      <c r="A52" s="5" t="n">
        <v>47</v>
      </c>
      <c r="B52" s="6" t="n">
        <v>3830</v>
      </c>
      <c r="C52" s="6" t="n">
        <v>3773.2</v>
      </c>
      <c r="D52" s="7" t="n">
        <v>38.2</v>
      </c>
      <c r="E52" s="7" t="n">
        <v>75.7</v>
      </c>
      <c r="F52" s="7" t="n">
        <v>37.5</v>
      </c>
      <c r="G52" s="8" t="s">
        <v>18</v>
      </c>
      <c r="H52" s="7" t="n">
        <v>75.7</v>
      </c>
      <c r="I52" s="7" t="n">
        <v>75.7</v>
      </c>
      <c r="J52" s="7" t="n">
        <v>75.4</v>
      </c>
      <c r="K52" s="8" t="s">
        <v>19</v>
      </c>
      <c r="L52" s="8" t="s">
        <v>17</v>
      </c>
    </row>
    <row r="53" customFormat="false" ht="15" hidden="false" customHeight="false" outlineLevel="0" collapsed="false">
      <c r="A53" s="5" t="n">
        <v>48</v>
      </c>
      <c r="B53" s="6" t="n">
        <v>3119</v>
      </c>
      <c r="C53" s="6" t="n">
        <v>3126.7</v>
      </c>
      <c r="D53" s="7" t="n">
        <v>42.6</v>
      </c>
      <c r="E53" s="7" t="n">
        <v>67.1</v>
      </c>
      <c r="F53" s="7" t="n">
        <v>24.5</v>
      </c>
      <c r="G53" s="8" t="s">
        <v>18</v>
      </c>
      <c r="H53" s="7" t="n">
        <v>67.1</v>
      </c>
      <c r="I53" s="7" t="n">
        <v>78.7</v>
      </c>
      <c r="J53" s="7" t="n">
        <v>56.9</v>
      </c>
      <c r="K53" s="8" t="s">
        <v>19</v>
      </c>
      <c r="L53" s="8" t="s">
        <v>17</v>
      </c>
    </row>
    <row r="54" customFormat="false" ht="15" hidden="false" customHeight="false" outlineLevel="0" collapsed="false">
      <c r="A54" s="5" t="n">
        <v>49</v>
      </c>
      <c r="B54" s="6" t="n">
        <v>3110</v>
      </c>
      <c r="C54" s="6" t="n">
        <v>3108.9</v>
      </c>
      <c r="D54" s="7" t="n">
        <v>39.4</v>
      </c>
      <c r="E54" s="7" t="n">
        <v>60</v>
      </c>
      <c r="F54" s="7" t="n">
        <v>20.6</v>
      </c>
      <c r="G54" s="8" t="s">
        <v>18</v>
      </c>
      <c r="H54" s="7" t="n">
        <v>60</v>
      </c>
      <c r="I54" s="7" t="n">
        <v>72.6</v>
      </c>
      <c r="J54" s="7" t="n">
        <v>53.3</v>
      </c>
      <c r="K54" s="8" t="s">
        <v>19</v>
      </c>
      <c r="L54" s="8" t="s">
        <v>17</v>
      </c>
    </row>
    <row r="55" customFormat="false" ht="15" hidden="false" customHeight="false" outlineLevel="0" collapsed="false">
      <c r="A55" s="5" t="n">
        <v>50</v>
      </c>
      <c r="B55" s="6" t="n">
        <v>3140</v>
      </c>
      <c r="C55" s="6" t="n">
        <v>3142.1</v>
      </c>
      <c r="D55" s="7" t="n">
        <v>16.7</v>
      </c>
      <c r="E55" s="7" t="n">
        <v>44.1</v>
      </c>
      <c r="F55" s="7" t="n">
        <v>27.4</v>
      </c>
      <c r="G55" s="8" t="s">
        <v>18</v>
      </c>
      <c r="H55" s="7" t="n">
        <v>44.1</v>
      </c>
      <c r="I55" s="7" t="n">
        <v>65.4</v>
      </c>
      <c r="J55" s="7" t="n">
        <v>65.2</v>
      </c>
      <c r="K55" s="8" t="s">
        <v>19</v>
      </c>
      <c r="L55" s="8" t="s">
        <v>17</v>
      </c>
    </row>
    <row r="56" customFormat="false" ht="15" hidden="false" customHeight="false" outlineLevel="0" collapsed="false">
      <c r="A56" s="5" t="n">
        <v>51</v>
      </c>
      <c r="B56" s="6" t="n">
        <v>3147</v>
      </c>
      <c r="C56" s="6" t="n">
        <v>3134.8</v>
      </c>
      <c r="D56" s="7" t="n">
        <v>19.3</v>
      </c>
      <c r="E56" s="7" t="n">
        <v>58.3</v>
      </c>
      <c r="F56" s="7" t="n">
        <v>39</v>
      </c>
      <c r="G56" s="8" t="s">
        <v>18</v>
      </c>
      <c r="H56" s="7" t="n">
        <v>58.3</v>
      </c>
      <c r="I56" s="7" t="n">
        <v>68.3</v>
      </c>
      <c r="J56" s="7" t="n">
        <v>68.8</v>
      </c>
      <c r="K56" s="8" t="s">
        <v>19</v>
      </c>
      <c r="L56" s="8" t="s">
        <v>17</v>
      </c>
    </row>
    <row r="57" customFormat="false" ht="15" hidden="false" customHeight="false" outlineLevel="0" collapsed="false">
      <c r="A57" s="9" t="n">
        <v>52</v>
      </c>
      <c r="B57" s="10" t="n">
        <v>3106</v>
      </c>
      <c r="C57" s="10" t="n">
        <v>3102.6</v>
      </c>
      <c r="D57" s="11" t="n">
        <v>49</v>
      </c>
      <c r="E57" s="11" t="n">
        <v>49</v>
      </c>
      <c r="F57" s="11" t="n">
        <v>0</v>
      </c>
      <c r="G57" s="12" t="s">
        <v>18</v>
      </c>
      <c r="H57" s="11" t="n">
        <v>49</v>
      </c>
      <c r="I57" s="11" t="n">
        <v>70</v>
      </c>
      <c r="J57" s="11" t="n">
        <v>69.9</v>
      </c>
      <c r="K57" s="12" t="s">
        <v>19</v>
      </c>
      <c r="L57" s="12" t="s">
        <v>20</v>
      </c>
    </row>
    <row r="58" customFormat="false" ht="15" hidden="false" customHeight="false" outlineLevel="0" collapsed="false">
      <c r="A58" s="9" t="n">
        <v>53</v>
      </c>
      <c r="B58" s="10" t="n">
        <v>3108</v>
      </c>
      <c r="C58" s="10" t="n">
        <v>3104.1</v>
      </c>
      <c r="D58" s="11" t="n">
        <v>39</v>
      </c>
      <c r="E58" s="11" t="n">
        <v>39</v>
      </c>
      <c r="F58" s="11" t="n">
        <v>0</v>
      </c>
      <c r="G58" s="12" t="s">
        <v>18</v>
      </c>
      <c r="H58" s="11" t="n">
        <v>39</v>
      </c>
      <c r="I58" s="11" t="n">
        <v>90.3</v>
      </c>
      <c r="J58" s="11" t="n">
        <v>90.2</v>
      </c>
      <c r="K58" s="12" t="s">
        <v>19</v>
      </c>
      <c r="L58" s="12" t="s">
        <v>20</v>
      </c>
    </row>
    <row r="59" customFormat="false" ht="15" hidden="false" customHeight="false" outlineLevel="0" collapsed="false">
      <c r="A59" s="5" t="n">
        <v>54</v>
      </c>
      <c r="B59" s="6" t="n">
        <v>3115</v>
      </c>
      <c r="C59" s="6" t="n">
        <v>3111.9</v>
      </c>
      <c r="D59" s="7" t="n">
        <v>30.6</v>
      </c>
      <c r="E59" s="7" t="n">
        <v>35</v>
      </c>
      <c r="F59" s="7" t="n">
        <v>4.4</v>
      </c>
      <c r="G59" s="8" t="s">
        <v>18</v>
      </c>
      <c r="H59" s="7" t="n">
        <v>35</v>
      </c>
      <c r="I59" s="7" t="n">
        <v>99.7</v>
      </c>
      <c r="J59" s="7" t="n">
        <v>99.7</v>
      </c>
      <c r="K59" s="8" t="s">
        <v>19</v>
      </c>
      <c r="L59" s="8" t="s">
        <v>17</v>
      </c>
    </row>
    <row r="60" customFormat="false" ht="15" hidden="false" customHeight="false" outlineLevel="0" collapsed="false">
      <c r="A60" s="9" t="n">
        <v>55</v>
      </c>
      <c r="B60" s="10" t="n">
        <v>3139</v>
      </c>
      <c r="C60" s="10" t="n">
        <v>3136.5</v>
      </c>
      <c r="D60" s="11" t="n">
        <v>31</v>
      </c>
      <c r="E60" s="11" t="n">
        <v>31</v>
      </c>
      <c r="F60" s="11" t="n">
        <v>0</v>
      </c>
      <c r="G60" s="12" t="s">
        <v>18</v>
      </c>
      <c r="H60" s="11" t="n">
        <v>31</v>
      </c>
      <c r="I60" s="11" t="n">
        <v>103</v>
      </c>
      <c r="J60" s="11" t="n">
        <v>102.9</v>
      </c>
      <c r="K60" s="12" t="s">
        <v>19</v>
      </c>
      <c r="L60" s="12" t="s">
        <v>20</v>
      </c>
    </row>
    <row r="61" customFormat="false" ht="15" hidden="false" customHeight="false" outlineLevel="0" collapsed="false">
      <c r="A61" s="9" t="n">
        <v>56</v>
      </c>
      <c r="B61" s="10" t="n">
        <v>3164</v>
      </c>
      <c r="C61" s="10" t="n">
        <v>3160.7</v>
      </c>
      <c r="D61" s="11" t="n">
        <v>30</v>
      </c>
      <c r="E61" s="11" t="n">
        <v>30</v>
      </c>
      <c r="F61" s="11" t="n">
        <v>0</v>
      </c>
      <c r="G61" s="12" t="s">
        <v>18</v>
      </c>
      <c r="H61" s="11" t="n">
        <v>30</v>
      </c>
      <c r="I61" s="11" t="n">
        <v>108.3</v>
      </c>
      <c r="J61" s="11" t="n">
        <v>108.3</v>
      </c>
      <c r="K61" s="12" t="s">
        <v>19</v>
      </c>
      <c r="L61" s="12" t="s">
        <v>20</v>
      </c>
    </row>
    <row r="62" customFormat="false" ht="15" hidden="false" customHeight="false" outlineLevel="0" collapsed="false">
      <c r="A62" s="9" t="n">
        <v>57</v>
      </c>
      <c r="B62" s="10" t="n">
        <v>3283</v>
      </c>
      <c r="C62" s="10" t="n">
        <v>3279.7</v>
      </c>
      <c r="D62" s="11" t="n">
        <v>30</v>
      </c>
      <c r="E62" s="11" t="n">
        <v>30</v>
      </c>
      <c r="F62" s="11" t="n">
        <v>0</v>
      </c>
      <c r="G62" s="12" t="s">
        <v>18</v>
      </c>
      <c r="H62" s="11" t="n">
        <v>30</v>
      </c>
      <c r="I62" s="11" t="n">
        <v>111.1</v>
      </c>
      <c r="J62" s="11" t="n">
        <v>111.1</v>
      </c>
      <c r="K62" s="12" t="s">
        <v>19</v>
      </c>
      <c r="L62" s="12" t="s">
        <v>20</v>
      </c>
    </row>
    <row r="63" customFormat="false" ht="15" hidden="false" customHeight="false" outlineLevel="0" collapsed="false">
      <c r="A63" s="9" t="n">
        <v>58</v>
      </c>
      <c r="B63" s="10" t="n">
        <v>3470</v>
      </c>
      <c r="C63" s="10" t="n">
        <v>3467.2</v>
      </c>
      <c r="D63" s="11" t="n">
        <v>30</v>
      </c>
      <c r="E63" s="11" t="n">
        <v>30</v>
      </c>
      <c r="F63" s="11" t="n">
        <v>0</v>
      </c>
      <c r="G63" s="12" t="s">
        <v>18</v>
      </c>
      <c r="H63" s="11" t="n">
        <v>30</v>
      </c>
      <c r="I63" s="11" t="n">
        <v>120.9</v>
      </c>
      <c r="J63" s="11" t="n">
        <v>120.9</v>
      </c>
      <c r="K63" s="12" t="s">
        <v>19</v>
      </c>
      <c r="L63" s="12" t="s">
        <v>20</v>
      </c>
    </row>
    <row r="64" customFormat="false" ht="15" hidden="false" customHeight="false" outlineLevel="0" collapsed="false">
      <c r="A64" s="9" t="n">
        <v>59</v>
      </c>
      <c r="B64" s="10" t="n">
        <v>3628</v>
      </c>
      <c r="C64" s="10" t="n">
        <v>3624.2</v>
      </c>
      <c r="D64" s="11" t="n">
        <v>30</v>
      </c>
      <c r="E64" s="11" t="n">
        <v>30</v>
      </c>
      <c r="F64" s="11" t="n">
        <v>0</v>
      </c>
      <c r="G64" s="12" t="s">
        <v>18</v>
      </c>
      <c r="H64" s="11" t="n">
        <v>30</v>
      </c>
      <c r="I64" s="11" t="n">
        <v>121</v>
      </c>
      <c r="J64" s="11" t="n">
        <v>120.9</v>
      </c>
      <c r="K64" s="12" t="s">
        <v>19</v>
      </c>
      <c r="L64" s="12" t="s">
        <v>20</v>
      </c>
    </row>
    <row r="65" customFormat="false" ht="15" hidden="false" customHeight="false" outlineLevel="0" collapsed="false">
      <c r="A65" s="9" t="n">
        <v>60</v>
      </c>
      <c r="B65" s="10" t="n">
        <v>3628</v>
      </c>
      <c r="C65" s="10" t="n">
        <v>3624.6</v>
      </c>
      <c r="D65" s="11" t="n">
        <v>30</v>
      </c>
      <c r="E65" s="11" t="n">
        <v>30</v>
      </c>
      <c r="F65" s="11" t="n">
        <v>0</v>
      </c>
      <c r="G65" s="12" t="s">
        <v>18</v>
      </c>
      <c r="H65" s="11" t="n">
        <v>30</v>
      </c>
      <c r="I65" s="11" t="n">
        <v>120.9</v>
      </c>
      <c r="J65" s="11" t="n">
        <v>120.9</v>
      </c>
      <c r="K65" s="12" t="s">
        <v>19</v>
      </c>
      <c r="L65" s="12" t="s">
        <v>20</v>
      </c>
    </row>
    <row r="66" customFormat="false" ht="15" hidden="false" customHeight="false" outlineLevel="0" collapsed="false">
      <c r="A66" s="5" t="n">
        <v>61</v>
      </c>
      <c r="B66" s="6" t="n">
        <v>3109</v>
      </c>
      <c r="C66" s="6" t="n">
        <v>3105.1</v>
      </c>
      <c r="D66" s="7" t="n">
        <v>29.6</v>
      </c>
      <c r="E66" s="7" t="n">
        <v>32.1</v>
      </c>
      <c r="F66" s="7" t="n">
        <v>2.5</v>
      </c>
      <c r="G66" s="8" t="s">
        <v>18</v>
      </c>
      <c r="H66" s="7" t="n">
        <v>32.1</v>
      </c>
      <c r="I66" s="7" t="n">
        <v>98.3</v>
      </c>
      <c r="J66" s="7" t="n">
        <v>98.1</v>
      </c>
      <c r="K66" s="8" t="s">
        <v>19</v>
      </c>
      <c r="L66" s="8" t="s">
        <v>17</v>
      </c>
    </row>
    <row r="67" customFormat="false" ht="15" hidden="false" customHeight="false" outlineLevel="0" collapsed="false">
      <c r="A67" s="5" t="n">
        <v>62</v>
      </c>
      <c r="B67" s="6" t="n">
        <v>3182</v>
      </c>
      <c r="C67" s="6" t="n">
        <v>3179.5</v>
      </c>
      <c r="D67" s="7" t="n">
        <v>20.4</v>
      </c>
      <c r="E67" s="7" t="n">
        <v>32.1</v>
      </c>
      <c r="F67" s="7" t="n">
        <v>11.7</v>
      </c>
      <c r="G67" s="8" t="s">
        <v>18</v>
      </c>
      <c r="H67" s="7" t="n">
        <v>32.1</v>
      </c>
      <c r="I67" s="7" t="n">
        <v>100.6</v>
      </c>
      <c r="J67" s="7" t="n">
        <v>100.3</v>
      </c>
      <c r="K67" s="8" t="s">
        <v>19</v>
      </c>
      <c r="L67" s="8" t="s">
        <v>17</v>
      </c>
    </row>
    <row r="68" customFormat="false" ht="15" hidden="false" customHeight="false" outlineLevel="0" collapsed="false">
      <c r="A68" s="9" t="n">
        <v>63</v>
      </c>
      <c r="B68" s="10" t="n">
        <v>3256</v>
      </c>
      <c r="C68" s="10" t="n">
        <v>3251.6</v>
      </c>
      <c r="D68" s="11" t="n">
        <v>32.1</v>
      </c>
      <c r="E68" s="11" t="n">
        <v>32.1</v>
      </c>
      <c r="F68" s="11" t="n">
        <v>0</v>
      </c>
      <c r="G68" s="12" t="s">
        <v>18</v>
      </c>
      <c r="H68" s="11" t="n">
        <v>32.1</v>
      </c>
      <c r="I68" s="11" t="n">
        <v>102.9</v>
      </c>
      <c r="J68" s="11" t="n">
        <v>102.6</v>
      </c>
      <c r="K68" s="12" t="s">
        <v>19</v>
      </c>
      <c r="L68" s="12" t="s">
        <v>20</v>
      </c>
    </row>
    <row r="69" customFormat="false" ht="15" hidden="false" customHeight="false" outlineLevel="0" collapsed="false">
      <c r="A69" s="9" t="n">
        <v>64</v>
      </c>
      <c r="B69" s="10" t="n">
        <v>3439</v>
      </c>
      <c r="C69" s="10" t="n">
        <v>3303.6</v>
      </c>
      <c r="D69" s="11" t="n">
        <v>83.6</v>
      </c>
      <c r="E69" s="11" t="n">
        <v>83.6</v>
      </c>
      <c r="F69" s="11" t="n">
        <v>0</v>
      </c>
      <c r="G69" s="12" t="s">
        <v>30</v>
      </c>
      <c r="H69" s="11" t="n">
        <v>125.6</v>
      </c>
      <c r="I69" s="11" t="n">
        <v>103.8</v>
      </c>
      <c r="J69" s="11" t="n">
        <v>34</v>
      </c>
      <c r="K69" s="12" t="s">
        <v>16</v>
      </c>
      <c r="L69" s="12" t="s">
        <v>20</v>
      </c>
    </row>
    <row r="70" customFormat="false" ht="15" hidden="false" customHeight="false" outlineLevel="0" collapsed="false">
      <c r="A70" s="9" t="n">
        <v>65</v>
      </c>
      <c r="B70" s="10" t="n">
        <v>3344</v>
      </c>
      <c r="C70" s="10" t="n">
        <v>3377.9</v>
      </c>
      <c r="D70" s="11" t="n">
        <v>24</v>
      </c>
      <c r="E70" s="11" t="n">
        <v>23.9</v>
      </c>
      <c r="F70" s="11" t="n">
        <v>-0.1</v>
      </c>
      <c r="G70" s="12" t="s">
        <v>18</v>
      </c>
      <c r="H70" s="11" t="n">
        <v>23.9</v>
      </c>
      <c r="I70" s="11" t="n">
        <v>105.7</v>
      </c>
      <c r="J70" s="11" t="n">
        <v>99.7</v>
      </c>
      <c r="K70" s="12" t="s">
        <v>19</v>
      </c>
      <c r="L70" s="12" t="s">
        <v>20</v>
      </c>
    </row>
    <row r="71" customFormat="false" ht="15" hidden="false" customHeight="false" outlineLevel="0" collapsed="false">
      <c r="A71" s="5" t="n">
        <v>66</v>
      </c>
      <c r="B71" s="6" t="n">
        <v>3250</v>
      </c>
      <c r="C71" s="6" t="n">
        <v>3246.7</v>
      </c>
      <c r="D71" s="7" t="n">
        <v>39.4</v>
      </c>
      <c r="E71" s="7" t="n">
        <v>41</v>
      </c>
      <c r="F71" s="7" t="n">
        <v>1.6</v>
      </c>
      <c r="G71" s="8" t="s">
        <v>18</v>
      </c>
      <c r="H71" s="7" t="n">
        <v>41</v>
      </c>
      <c r="I71" s="7" t="n">
        <v>91.9</v>
      </c>
      <c r="J71" s="7" t="n">
        <v>91.1</v>
      </c>
      <c r="K71" s="8" t="s">
        <v>19</v>
      </c>
      <c r="L71" s="8" t="s">
        <v>17</v>
      </c>
    </row>
    <row r="72" customFormat="false" ht="15" hidden="false" customHeight="false" outlineLevel="0" collapsed="false">
      <c r="A72" s="9" t="n">
        <v>67</v>
      </c>
      <c r="B72" s="10" t="n">
        <v>3423</v>
      </c>
      <c r="C72" s="10" t="n">
        <v>3419.6</v>
      </c>
      <c r="D72" s="11" t="n">
        <v>30</v>
      </c>
      <c r="E72" s="11" t="n">
        <v>30</v>
      </c>
      <c r="F72" s="11" t="n">
        <v>0</v>
      </c>
      <c r="G72" s="12" t="s">
        <v>18</v>
      </c>
      <c r="H72" s="11" t="n">
        <v>30</v>
      </c>
      <c r="I72" s="11" t="n">
        <v>137.6</v>
      </c>
      <c r="J72" s="11" t="n">
        <v>136.9</v>
      </c>
      <c r="K72" s="12" t="s">
        <v>19</v>
      </c>
      <c r="L72" s="12" t="s">
        <v>20</v>
      </c>
    </row>
    <row r="73" customFormat="false" ht="15" hidden="false" customHeight="false" outlineLevel="0" collapsed="false">
      <c r="A73" s="9" t="n">
        <v>68</v>
      </c>
      <c r="B73" s="10" t="n">
        <v>4627</v>
      </c>
      <c r="C73" s="10" t="n">
        <v>4622.5</v>
      </c>
      <c r="D73" s="11" t="n">
        <v>30</v>
      </c>
      <c r="E73" s="11" t="n">
        <v>30</v>
      </c>
      <c r="F73" s="11" t="n">
        <v>0</v>
      </c>
      <c r="G73" s="12" t="s">
        <v>18</v>
      </c>
      <c r="H73" s="11" t="n">
        <v>30</v>
      </c>
      <c r="I73" s="11" t="n">
        <v>160</v>
      </c>
      <c r="J73" s="11" t="n">
        <v>159.3</v>
      </c>
      <c r="K73" s="12" t="s">
        <v>19</v>
      </c>
      <c r="L73" s="12" t="s">
        <v>20</v>
      </c>
    </row>
    <row r="74" customFormat="false" ht="15" hidden="false" customHeight="false" outlineLevel="0" collapsed="false">
      <c r="A74" s="9" t="n">
        <v>69</v>
      </c>
      <c r="B74" s="10" t="n">
        <v>4867</v>
      </c>
      <c r="C74" s="10" t="n">
        <v>4861.1</v>
      </c>
      <c r="D74" s="11" t="n">
        <v>30</v>
      </c>
      <c r="E74" s="11" t="n">
        <v>30</v>
      </c>
      <c r="F74" s="11" t="n">
        <v>0</v>
      </c>
      <c r="G74" s="12" t="s">
        <v>18</v>
      </c>
      <c r="H74" s="11" t="n">
        <v>30</v>
      </c>
      <c r="I74" s="11" t="n">
        <v>163.8</v>
      </c>
      <c r="J74" s="11" t="n">
        <v>163.1</v>
      </c>
      <c r="K74" s="12" t="s">
        <v>19</v>
      </c>
      <c r="L74" s="12" t="s">
        <v>20</v>
      </c>
    </row>
    <row r="75" customFormat="false" ht="15" hidden="false" customHeight="false" outlineLevel="0" collapsed="false">
      <c r="A75" s="9" t="n">
        <v>70</v>
      </c>
      <c r="B75" s="10" t="n">
        <v>4890</v>
      </c>
      <c r="C75" s="10" t="n">
        <v>4885.2</v>
      </c>
      <c r="D75" s="11" t="n">
        <v>30</v>
      </c>
      <c r="E75" s="11" t="n">
        <v>30</v>
      </c>
      <c r="F75" s="11" t="n">
        <v>0</v>
      </c>
      <c r="G75" s="12" t="s">
        <v>18</v>
      </c>
      <c r="H75" s="11" t="n">
        <v>30</v>
      </c>
      <c r="I75" s="11" t="n">
        <v>164.7</v>
      </c>
      <c r="J75" s="11" t="n">
        <v>164.2</v>
      </c>
      <c r="K75" s="12" t="s">
        <v>19</v>
      </c>
      <c r="L75" s="12" t="s">
        <v>20</v>
      </c>
    </row>
    <row r="76" customFormat="false" ht="15" hidden="false" customHeight="false" outlineLevel="0" collapsed="false">
      <c r="A76" s="9" t="n">
        <v>71</v>
      </c>
      <c r="B76" s="10" t="n">
        <v>4096</v>
      </c>
      <c r="C76" s="10" t="n">
        <v>4091.5</v>
      </c>
      <c r="D76" s="11" t="n">
        <v>30</v>
      </c>
      <c r="E76" s="11" t="n">
        <v>30</v>
      </c>
      <c r="F76" s="11" t="n">
        <v>0</v>
      </c>
      <c r="G76" s="12" t="s">
        <v>18</v>
      </c>
      <c r="H76" s="11" t="n">
        <v>30</v>
      </c>
      <c r="I76" s="11" t="n">
        <v>158.1</v>
      </c>
      <c r="J76" s="11" t="n">
        <v>158</v>
      </c>
      <c r="K76" s="12" t="s">
        <v>19</v>
      </c>
      <c r="L76" s="12" t="s">
        <v>20</v>
      </c>
    </row>
    <row r="77" customFormat="false" ht="15" hidden="false" customHeight="false" outlineLevel="0" collapsed="false">
      <c r="A77" s="9" t="n">
        <v>72</v>
      </c>
      <c r="B77" s="10" t="n">
        <v>3527</v>
      </c>
      <c r="C77" s="10" t="n">
        <v>3522.7</v>
      </c>
      <c r="D77" s="11" t="n">
        <v>30</v>
      </c>
      <c r="E77" s="11" t="n">
        <v>30</v>
      </c>
      <c r="F77" s="11" t="n">
        <v>0</v>
      </c>
      <c r="G77" s="12" t="s">
        <v>18</v>
      </c>
      <c r="H77" s="11" t="n">
        <v>30</v>
      </c>
      <c r="I77" s="11" t="n">
        <v>119.7</v>
      </c>
      <c r="J77" s="11" t="n">
        <v>119.3</v>
      </c>
      <c r="K77" s="12" t="s">
        <v>19</v>
      </c>
      <c r="L77" s="12" t="s">
        <v>20</v>
      </c>
    </row>
    <row r="78" customFormat="false" ht="15" hidden="false" customHeight="false" outlineLevel="0" collapsed="false">
      <c r="A78" s="9" t="n">
        <v>73</v>
      </c>
      <c r="B78" s="10" t="n">
        <v>3188</v>
      </c>
      <c r="C78" s="10" t="n">
        <v>3184.7</v>
      </c>
      <c r="D78" s="11" t="n">
        <v>31</v>
      </c>
      <c r="E78" s="11" t="n">
        <v>31</v>
      </c>
      <c r="F78" s="11" t="n">
        <v>0</v>
      </c>
      <c r="G78" s="12" t="s">
        <v>18</v>
      </c>
      <c r="H78" s="11" t="n">
        <v>31</v>
      </c>
      <c r="I78" s="11" t="n">
        <v>116.6</v>
      </c>
      <c r="J78" s="11" t="n">
        <v>116.5</v>
      </c>
      <c r="K78" s="12" t="s">
        <v>19</v>
      </c>
      <c r="L78" s="12" t="s">
        <v>20</v>
      </c>
    </row>
    <row r="79" customFormat="false" ht="15" hidden="false" customHeight="false" outlineLevel="0" collapsed="false">
      <c r="A79" s="5" t="n">
        <v>74</v>
      </c>
      <c r="B79" s="6" t="n">
        <v>3866</v>
      </c>
      <c r="C79" s="6" t="n">
        <v>3862.5</v>
      </c>
      <c r="D79" s="7" t="n">
        <v>18.4</v>
      </c>
      <c r="E79" s="7" t="n">
        <v>30</v>
      </c>
      <c r="F79" s="7" t="n">
        <v>11.6</v>
      </c>
      <c r="G79" s="8" t="s">
        <v>18</v>
      </c>
      <c r="H79" s="7" t="n">
        <v>30</v>
      </c>
      <c r="I79" s="7" t="n">
        <v>138.2</v>
      </c>
      <c r="J79" s="7" t="n">
        <v>137.7</v>
      </c>
      <c r="K79" s="8" t="s">
        <v>19</v>
      </c>
      <c r="L79" s="8" t="s">
        <v>17</v>
      </c>
    </row>
    <row r="80" customFormat="false" ht="15" hidden="false" customHeight="false" outlineLevel="0" collapsed="false">
      <c r="A80" s="9" t="n">
        <v>75</v>
      </c>
      <c r="B80" s="10" t="n">
        <v>3619</v>
      </c>
      <c r="C80" s="10" t="n">
        <v>3614.4</v>
      </c>
      <c r="D80" s="11" t="n">
        <v>30</v>
      </c>
      <c r="E80" s="11" t="n">
        <v>30</v>
      </c>
      <c r="F80" s="11" t="n">
        <v>0</v>
      </c>
      <c r="G80" s="12" t="s">
        <v>18</v>
      </c>
      <c r="H80" s="11" t="n">
        <v>30</v>
      </c>
      <c r="I80" s="11" t="n">
        <v>131</v>
      </c>
      <c r="J80" s="11" t="n">
        <v>130.9</v>
      </c>
      <c r="K80" s="12" t="s">
        <v>19</v>
      </c>
      <c r="L80" s="12" t="s">
        <v>20</v>
      </c>
    </row>
    <row r="81" customFormat="false" ht="15" hidden="false" customHeight="false" outlineLevel="0" collapsed="false">
      <c r="A81" s="9" t="n">
        <v>76</v>
      </c>
      <c r="B81" s="10" t="n">
        <v>3165</v>
      </c>
      <c r="C81" s="10" t="n">
        <v>3161.1</v>
      </c>
      <c r="D81" s="11" t="n">
        <v>31</v>
      </c>
      <c r="E81" s="11" t="n">
        <v>31</v>
      </c>
      <c r="F81" s="11" t="n">
        <v>0</v>
      </c>
      <c r="G81" s="12" t="s">
        <v>18</v>
      </c>
      <c r="H81" s="11" t="n">
        <v>31</v>
      </c>
      <c r="I81" s="11" t="n">
        <v>110.3</v>
      </c>
      <c r="J81" s="11" t="n">
        <v>110.2</v>
      </c>
      <c r="K81" s="12" t="s">
        <v>19</v>
      </c>
      <c r="L81" s="12" t="s">
        <v>20</v>
      </c>
    </row>
    <row r="82" customFormat="false" ht="15" hidden="false" customHeight="false" outlineLevel="0" collapsed="false">
      <c r="A82" s="9" t="n">
        <v>77</v>
      </c>
      <c r="B82" s="10" t="n">
        <v>3353</v>
      </c>
      <c r="C82" s="10" t="n">
        <v>3349.2</v>
      </c>
      <c r="D82" s="11" t="n">
        <v>40</v>
      </c>
      <c r="E82" s="11" t="n">
        <v>40</v>
      </c>
      <c r="F82" s="11" t="n">
        <v>0</v>
      </c>
      <c r="G82" s="12" t="s">
        <v>18</v>
      </c>
      <c r="H82" s="11" t="n">
        <v>40</v>
      </c>
      <c r="I82" s="11" t="n">
        <v>93.9</v>
      </c>
      <c r="J82" s="11" t="n">
        <v>93.8</v>
      </c>
      <c r="K82" s="12" t="s">
        <v>19</v>
      </c>
      <c r="L82" s="12" t="s">
        <v>20</v>
      </c>
    </row>
    <row r="83" customFormat="false" ht="15" hidden="false" customHeight="false" outlineLevel="0" collapsed="false">
      <c r="A83" s="5" t="n">
        <v>78</v>
      </c>
      <c r="B83" s="6" t="n">
        <v>3221</v>
      </c>
      <c r="C83" s="6" t="n">
        <v>3217.9</v>
      </c>
      <c r="D83" s="7" t="n">
        <v>22.7</v>
      </c>
      <c r="E83" s="7" t="n">
        <v>32.1</v>
      </c>
      <c r="F83" s="7" t="n">
        <v>9.4</v>
      </c>
      <c r="G83" s="8" t="s">
        <v>18</v>
      </c>
      <c r="H83" s="7" t="n">
        <v>32.1</v>
      </c>
      <c r="I83" s="7" t="n">
        <v>102.8</v>
      </c>
      <c r="J83" s="7" t="n">
        <v>98.6</v>
      </c>
      <c r="K83" s="8" t="s">
        <v>19</v>
      </c>
      <c r="L83" s="8" t="s">
        <v>17</v>
      </c>
    </row>
    <row r="84" customFormat="false" ht="15" hidden="false" customHeight="false" outlineLevel="0" collapsed="false">
      <c r="A84" s="5" t="n">
        <v>79</v>
      </c>
      <c r="B84" s="6" t="n">
        <v>3173</v>
      </c>
      <c r="C84" s="6" t="n">
        <v>3172.2</v>
      </c>
      <c r="D84" s="7" t="n">
        <v>13.6</v>
      </c>
      <c r="E84" s="7" t="n">
        <v>30.1</v>
      </c>
      <c r="F84" s="7" t="n">
        <v>16.5</v>
      </c>
      <c r="G84" s="8" t="s">
        <v>18</v>
      </c>
      <c r="H84" s="7" t="n">
        <v>30.1</v>
      </c>
      <c r="I84" s="7" t="n">
        <v>105.3</v>
      </c>
      <c r="J84" s="7" t="n">
        <v>104.9</v>
      </c>
      <c r="K84" s="8" t="s">
        <v>19</v>
      </c>
      <c r="L84" s="8" t="s">
        <v>17</v>
      </c>
    </row>
    <row r="85" customFormat="false" ht="15" hidden="false" customHeight="false" outlineLevel="0" collapsed="false">
      <c r="A85" s="5" t="n">
        <v>80</v>
      </c>
      <c r="B85" s="6" t="n">
        <v>3242</v>
      </c>
      <c r="C85" s="6" t="n">
        <v>3238.9</v>
      </c>
      <c r="D85" s="7" t="n">
        <v>7.6</v>
      </c>
      <c r="E85" s="7" t="n">
        <v>34</v>
      </c>
      <c r="F85" s="7" t="n">
        <v>26.4</v>
      </c>
      <c r="G85" s="8" t="s">
        <v>18</v>
      </c>
      <c r="H85" s="7" t="n">
        <v>34</v>
      </c>
      <c r="I85" s="7" t="n">
        <v>95.9</v>
      </c>
      <c r="J85" s="7" t="n">
        <v>92.3</v>
      </c>
      <c r="K85" s="8" t="s">
        <v>19</v>
      </c>
      <c r="L85" s="8" t="s">
        <v>17</v>
      </c>
    </row>
    <row r="86" customFormat="false" ht="15" hidden="false" customHeight="false" outlineLevel="0" collapsed="false">
      <c r="A86" s="5" t="n">
        <v>81</v>
      </c>
      <c r="B86" s="6" t="n">
        <v>3173</v>
      </c>
      <c r="C86" s="6" t="n">
        <v>3154.6</v>
      </c>
      <c r="D86" s="7" t="n">
        <v>31.5</v>
      </c>
      <c r="E86" s="7" t="n">
        <v>54</v>
      </c>
      <c r="F86" s="7" t="n">
        <v>22.5</v>
      </c>
      <c r="G86" s="8" t="s">
        <v>18</v>
      </c>
      <c r="H86" s="7" t="n">
        <v>54</v>
      </c>
      <c r="I86" s="7" t="n">
        <v>82.9</v>
      </c>
      <c r="J86" s="7" t="n">
        <v>83.3</v>
      </c>
      <c r="K86" s="8" t="s">
        <v>19</v>
      </c>
      <c r="L86" s="8" t="s">
        <v>17</v>
      </c>
    </row>
    <row r="87" customFormat="false" ht="15" hidden="false" customHeight="false" outlineLevel="0" collapsed="false">
      <c r="A87" s="5" t="n">
        <v>82</v>
      </c>
      <c r="B87" s="6" t="n">
        <v>3149</v>
      </c>
      <c r="C87" s="6" t="n">
        <v>3120.6</v>
      </c>
      <c r="D87" s="7" t="n">
        <v>30.8</v>
      </c>
      <c r="E87" s="7" t="n">
        <v>53.1</v>
      </c>
      <c r="F87" s="7" t="n">
        <v>22.3</v>
      </c>
      <c r="G87" s="8" t="s">
        <v>18</v>
      </c>
      <c r="H87" s="7" t="n">
        <v>53.1</v>
      </c>
      <c r="I87" s="7" t="n">
        <v>80.6</v>
      </c>
      <c r="J87" s="7" t="n">
        <v>81.3</v>
      </c>
      <c r="K87" s="8" t="s">
        <v>19</v>
      </c>
      <c r="L87" s="8" t="s">
        <v>17</v>
      </c>
    </row>
    <row r="88" customFormat="false" ht="15" hidden="false" customHeight="false" outlineLevel="0" collapsed="false">
      <c r="A88" s="9" t="n">
        <v>83</v>
      </c>
      <c r="B88" s="10" t="n">
        <v>3191</v>
      </c>
      <c r="C88" s="10" t="n">
        <v>3187.5</v>
      </c>
      <c r="D88" s="11" t="n">
        <v>50</v>
      </c>
      <c r="E88" s="11" t="n">
        <v>50</v>
      </c>
      <c r="F88" s="11" t="n">
        <v>0</v>
      </c>
      <c r="G88" s="12" t="s">
        <v>18</v>
      </c>
      <c r="H88" s="11" t="n">
        <v>50</v>
      </c>
      <c r="I88" s="11" t="n">
        <v>75.6</v>
      </c>
      <c r="J88" s="11" t="n">
        <v>75.6</v>
      </c>
      <c r="K88" s="12" t="s">
        <v>19</v>
      </c>
      <c r="L88" s="12" t="s">
        <v>20</v>
      </c>
    </row>
    <row r="89" customFormat="false" ht="15" hidden="false" customHeight="false" outlineLevel="0" collapsed="false">
      <c r="A89" s="5" t="n">
        <v>84</v>
      </c>
      <c r="B89" s="6" t="n">
        <v>4296</v>
      </c>
      <c r="C89" s="6" t="n">
        <v>4311.3</v>
      </c>
      <c r="D89" s="7" t="n">
        <v>29</v>
      </c>
      <c r="E89" s="7" t="n">
        <v>30.3</v>
      </c>
      <c r="F89" s="7" t="n">
        <v>1.3</v>
      </c>
      <c r="G89" s="8" t="s">
        <v>18</v>
      </c>
      <c r="H89" s="7" t="n">
        <v>30.3</v>
      </c>
      <c r="I89" s="7" t="n">
        <v>142.7</v>
      </c>
      <c r="J89" s="7" t="n">
        <v>139.3</v>
      </c>
      <c r="K89" s="8" t="s">
        <v>19</v>
      </c>
      <c r="L89" s="8" t="s">
        <v>17</v>
      </c>
    </row>
    <row r="90" customFormat="false" ht="15" hidden="false" customHeight="false" outlineLevel="0" collapsed="false">
      <c r="A90" s="5" t="n">
        <v>85</v>
      </c>
      <c r="B90" s="6" t="n">
        <v>4700</v>
      </c>
      <c r="C90" s="6" t="n">
        <v>4714.2</v>
      </c>
      <c r="D90" s="7" t="n">
        <v>28.6</v>
      </c>
      <c r="E90" s="7" t="n">
        <v>30</v>
      </c>
      <c r="F90" s="7" t="n">
        <v>1.4</v>
      </c>
      <c r="G90" s="8" t="s">
        <v>18</v>
      </c>
      <c r="H90" s="7" t="n">
        <v>30</v>
      </c>
      <c r="I90" s="7" t="n">
        <v>132.5</v>
      </c>
      <c r="J90" s="7" t="n">
        <v>126.8</v>
      </c>
      <c r="K90" s="8" t="s">
        <v>19</v>
      </c>
      <c r="L90" s="8" t="s">
        <v>17</v>
      </c>
    </row>
    <row r="91" customFormat="false" ht="15" hidden="false" customHeight="false" outlineLevel="0" collapsed="false">
      <c r="A91" s="5" t="n">
        <v>86</v>
      </c>
      <c r="B91" s="6" t="n">
        <v>9907</v>
      </c>
      <c r="C91" s="6" t="n">
        <v>9925.4</v>
      </c>
      <c r="D91" s="7" t="n">
        <v>30.5</v>
      </c>
      <c r="E91" s="7" t="n">
        <v>165.3</v>
      </c>
      <c r="F91" s="7" t="n">
        <v>134.8</v>
      </c>
      <c r="G91" s="8" t="s">
        <v>29</v>
      </c>
      <c r="H91" s="7" t="n">
        <v>175.3</v>
      </c>
      <c r="I91" s="7" t="n">
        <v>208.3</v>
      </c>
      <c r="J91" s="7" t="n">
        <v>101.1</v>
      </c>
      <c r="K91" s="8" t="s">
        <v>16</v>
      </c>
      <c r="L91" s="8" t="s">
        <v>17</v>
      </c>
    </row>
    <row r="92" customFormat="false" ht="15" hidden="false" customHeight="false" outlineLevel="0" collapsed="false">
      <c r="A92" s="13" t="s">
        <v>31</v>
      </c>
    </row>
    <row r="93" customFormat="false" ht="15" hidden="false" customHeight="false" outlineLevel="0" collapsed="false">
      <c r="A93" s="14" t="s">
        <v>32</v>
      </c>
      <c r="B93" s="14"/>
      <c r="C93" s="14"/>
      <c r="D93" s="14"/>
      <c r="E93" s="15" t="n">
        <f aca="false">COUNT(A6:A91)</f>
        <v>86</v>
      </c>
    </row>
    <row r="94" customFormat="false" ht="15" hidden="false" customHeight="false" outlineLevel="0" collapsed="false">
      <c r="A94" s="14" t="s">
        <v>33</v>
      </c>
      <c r="B94" s="14"/>
      <c r="C94" s="14"/>
      <c r="D94" s="14"/>
      <c r="E94" s="15" t="n">
        <f aca="false">COUNTIF(L6:L91,"Correcto")</f>
        <v>45</v>
      </c>
    </row>
    <row r="95" customFormat="false" ht="15" hidden="false" customHeight="false" outlineLevel="0" collapsed="false">
      <c r="A95" s="14" t="s">
        <v>34</v>
      </c>
      <c r="B95" s="14"/>
      <c r="C95" s="14"/>
      <c r="D95" s="14"/>
      <c r="E95" s="15" t="n">
        <f aca="false">COUNTIF(L6:L91,"Corregido · subestimado")</f>
        <v>41</v>
      </c>
    </row>
    <row r="96" customFormat="false" ht="15" hidden="false" customHeight="false" outlineLevel="0" collapsed="false">
      <c r="A96" s="14" t="s">
        <v>35</v>
      </c>
      <c r="B96" s="14"/>
      <c r="C96" s="14"/>
      <c r="D96" s="14"/>
      <c r="E96" s="15" t="n">
        <f aca="false">COUNTIF(L6:L91,"Corregido · sobrestimado")</f>
        <v>0</v>
      </c>
    </row>
    <row r="97" customFormat="false" ht="15" hidden="false" customHeight="false" outlineLevel="0" collapsed="false">
      <c r="A97" s="14" t="s">
        <v>36</v>
      </c>
      <c r="B97" s="14"/>
      <c r="C97" s="14"/>
      <c r="D97" s="14"/>
      <c r="E97" s="16" t="n">
        <f aca="false">SUMIF(F6:F91,"&gt;0")</f>
        <v>711.3</v>
      </c>
    </row>
    <row r="98" customFormat="false" ht="15" hidden="false" customHeight="false" outlineLevel="0" collapsed="false">
      <c r="A98" s="14" t="s">
        <v>37</v>
      </c>
      <c r="B98" s="14"/>
      <c r="C98" s="14"/>
      <c r="D98" s="14"/>
      <c r="E98" s="16" t="n">
        <f aca="false">MAX(F6:F91)</f>
        <v>134.8</v>
      </c>
    </row>
    <row r="99" customFormat="false" ht="15" hidden="false" customHeight="false" outlineLevel="0" collapsed="false">
      <c r="A99" s="14" t="s">
        <v>38</v>
      </c>
      <c r="B99" s="14"/>
      <c r="C99" s="14"/>
      <c r="D99" s="14"/>
      <c r="E99" s="16" t="n">
        <f aca="false">MIN(E6:E91)</f>
        <v>23.9</v>
      </c>
    </row>
    <row r="100" customFormat="false" ht="15" hidden="false" customHeight="false" outlineLevel="0" collapsed="false">
      <c r="A100" s="14" t="s">
        <v>39</v>
      </c>
      <c r="B100" s="14"/>
      <c r="C100" s="14"/>
      <c r="D100" s="14"/>
      <c r="E100" s="16" t="n">
        <f aca="false">COUNTIF(E6:E91,"&lt;29.9")</f>
        <v>1</v>
      </c>
    </row>
  </sheetData>
  <autoFilter ref="A5:L91"/>
  <mergeCells count="11">
    <mergeCell ref="A1:L1"/>
    <mergeCell ref="A2:L2"/>
    <mergeCell ref="A3:L3"/>
    <mergeCell ref="A93:D93"/>
    <mergeCell ref="A94:D94"/>
    <mergeCell ref="A95:D95"/>
    <mergeCell ref="A96:D96"/>
    <mergeCell ref="A97:D97"/>
    <mergeCell ref="A98:D98"/>
    <mergeCell ref="A99:D99"/>
    <mergeCell ref="A100:D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17" t="s">
        <v>40</v>
      </c>
    </row>
    <row r="3" customFormat="false" ht="15" hidden="false" customHeight="false" outlineLevel="0" collapsed="false">
      <c r="A3" s="18" t="s">
        <v>41</v>
      </c>
    </row>
    <row r="4" customFormat="false" ht="30" hidden="false" customHeight="true" outlineLevel="0" collapsed="false">
      <c r="B4" s="19" t="s">
        <v>42</v>
      </c>
      <c r="C4" s="19"/>
      <c r="D4" s="19"/>
      <c r="E4" s="19"/>
      <c r="F4" s="19"/>
      <c r="G4" s="19"/>
      <c r="H4" s="19"/>
    </row>
    <row r="5" customFormat="false" ht="30" hidden="false" customHeight="true" outlineLevel="0" collapsed="false">
      <c r="B5" s="19" t="s">
        <v>43</v>
      </c>
      <c r="C5" s="19"/>
      <c r="D5" s="19"/>
      <c r="E5" s="19"/>
      <c r="F5" s="19"/>
      <c r="G5" s="19"/>
      <c r="H5" s="19"/>
    </row>
    <row r="6" customFormat="false" ht="30" hidden="false" customHeight="true" outlineLevel="0" collapsed="false">
      <c r="B6" s="19" t="s">
        <v>44</v>
      </c>
      <c r="C6" s="19"/>
      <c r="D6" s="19"/>
      <c r="E6" s="19"/>
      <c r="F6" s="19"/>
      <c r="G6" s="19"/>
      <c r="H6" s="19"/>
    </row>
    <row r="8" customFormat="false" ht="15" hidden="false" customHeight="false" outlineLevel="0" collapsed="false">
      <c r="A8" s="18" t="s">
        <v>45</v>
      </c>
    </row>
    <row r="9" customFormat="false" ht="30" hidden="false" customHeight="true" outlineLevel="0" collapsed="false">
      <c r="B9" s="19" t="s">
        <v>46</v>
      </c>
      <c r="C9" s="19"/>
      <c r="D9" s="19"/>
      <c r="E9" s="19"/>
      <c r="F9" s="19"/>
      <c r="G9" s="19"/>
      <c r="H9" s="19"/>
    </row>
    <row r="10" customFormat="false" ht="30" hidden="false" customHeight="true" outlineLevel="0" collapsed="false">
      <c r="B10" s="19" t="s">
        <v>47</v>
      </c>
      <c r="C10" s="19"/>
      <c r="D10" s="19"/>
      <c r="E10" s="19"/>
      <c r="F10" s="19"/>
      <c r="G10" s="19"/>
      <c r="H10" s="19"/>
    </row>
    <row r="12" customFormat="false" ht="15" hidden="false" customHeight="false" outlineLevel="0" collapsed="false">
      <c r="A12" s="18" t="s">
        <v>48</v>
      </c>
    </row>
    <row r="13" customFormat="false" ht="30" hidden="false" customHeight="true" outlineLevel="0" collapsed="false">
      <c r="B13" s="19" t="s">
        <v>49</v>
      </c>
      <c r="C13" s="19"/>
      <c r="D13" s="19"/>
      <c r="E13" s="19"/>
      <c r="F13" s="19"/>
      <c r="G13" s="19"/>
      <c r="H13" s="19"/>
    </row>
    <row r="14" customFormat="false" ht="30" hidden="false" customHeight="true" outlineLevel="0" collapsed="false">
      <c r="B14" s="19" t="s">
        <v>50</v>
      </c>
      <c r="C14" s="19"/>
      <c r="D14" s="19"/>
      <c r="E14" s="19"/>
      <c r="F14" s="19"/>
      <c r="G14" s="19"/>
      <c r="H14" s="19"/>
    </row>
    <row r="15" customFormat="false" ht="30" hidden="false" customHeight="true" outlineLevel="0" collapsed="false">
      <c r="B15" s="19" t="s">
        <v>51</v>
      </c>
      <c r="C15" s="19"/>
      <c r="D15" s="19"/>
      <c r="E15" s="19"/>
      <c r="F15" s="19"/>
      <c r="G15" s="19"/>
      <c r="H15" s="19"/>
    </row>
    <row r="17" customFormat="false" ht="15" hidden="false" customHeight="false" outlineLevel="0" collapsed="false">
      <c r="A17" s="18" t="s">
        <v>52</v>
      </c>
    </row>
    <row r="18" customFormat="false" ht="30" hidden="false" customHeight="true" outlineLevel="0" collapsed="false">
      <c r="B18" s="19" t="s">
        <v>53</v>
      </c>
      <c r="C18" s="19"/>
      <c r="D18" s="19"/>
      <c r="E18" s="19"/>
      <c r="F18" s="19"/>
      <c r="G18" s="19"/>
      <c r="H18" s="19"/>
    </row>
    <row r="19" customFormat="false" ht="30" hidden="false" customHeight="true" outlineLevel="0" collapsed="false">
      <c r="B19" s="19" t="s">
        <v>54</v>
      </c>
      <c r="C19" s="19"/>
      <c r="D19" s="19"/>
      <c r="E19" s="19"/>
      <c r="F19" s="19"/>
      <c r="G19" s="19"/>
      <c r="H19" s="19"/>
    </row>
    <row r="20" customFormat="false" ht="30" hidden="false" customHeight="true" outlineLevel="0" collapsed="false">
      <c r="B20" s="19" t="s">
        <v>55</v>
      </c>
      <c r="C20" s="19"/>
      <c r="D20" s="19"/>
      <c r="E20" s="19"/>
      <c r="F20" s="19"/>
      <c r="G20" s="19"/>
      <c r="H20" s="19"/>
    </row>
  </sheetData>
  <mergeCells count="11">
    <mergeCell ref="B4:H4"/>
    <mergeCell ref="B5:H5"/>
    <mergeCell ref="B6:H6"/>
    <mergeCell ref="B9:H9"/>
    <mergeCell ref="B10:H10"/>
    <mergeCell ref="B13:H13"/>
    <mergeCell ref="B14:H14"/>
    <mergeCell ref="B15:H15"/>
    <mergeCell ref="B18:H18"/>
    <mergeCell ref="B19:H19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2026-09-18T18:45:04Z</dcterms:created>
  <dc:creator>openpyxl</dc:creator>
  <dc:description/>
  <dc:language>en-US</dc:language>
  <cp:lastModifiedBy/>
  <dcterms:modified xsi:type="dcterms:W3CDTF">2026-09-18T18:45:04Z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